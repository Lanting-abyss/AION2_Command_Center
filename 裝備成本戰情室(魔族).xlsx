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神一\Desktop\"/>
    </mc:Choice>
  </mc:AlternateContent>
  <xr:revisionPtr revIDLastSave="0" documentId="8_{84AF9C16-37DA-4E4E-9A7E-2282C7D21D7A}" xr6:coauthVersionLast="47" xr6:coauthVersionMax="47" xr10:uidLastSave="{00000000-0000-0000-0000-000000000000}"/>
  <bookViews>
    <workbookView xWindow="600" yWindow="1440" windowWidth="23070" windowHeight="16650" xr2:uid="{00000000-000D-0000-FFFF-FFFF00000000}"/>
  </bookViews>
  <sheets>
    <sheet name="Dashboard" sheetId="1" r:id="rId1"/>
    <sheet name="Price_List" sheetId="2" r:id="rId2"/>
    <sheet name="Data_Recipes" sheetId="4" r:id="rId3"/>
  </sheets>
  <definedNames>
    <definedName name="_xlnm._FilterDatabase" localSheetId="2" hidden="1">Data_Recipes!$A$1:$F$899</definedName>
    <definedName name="_xlnm._FilterDatabase" localSheetId="1" hidden="1">Price_List!$A$1:$E$100</definedName>
    <definedName name="List_Factions">Price_List!$AA$2:$AA$3</definedName>
    <definedName name="Series_天族">Price_List!$AB$2:$AB$6</definedName>
    <definedName name="Series_魔族">Price_List!$AC$2:$AC$6</definedName>
    <definedName name="白龍王系列">Price_List!$AF$2:$AF$20</definedName>
    <definedName name="其他天族系列">Price_List!$AH$2:$AH$20</definedName>
    <definedName name="其他魔族系列">Price_List!#REF!</definedName>
    <definedName name="真龍王系列">Price_List!$AG$2:$AG$20</definedName>
    <definedName name="乾龍王系列">Price_List!$AL$2:$AL$20</definedName>
    <definedName name="黑龍王系列">Price_List!$AK$2:$AK$20</definedName>
    <definedName name="暗龍王系列">Price_List!$AJ$2:$AJ$20</definedName>
    <definedName name="鳴龍王系列">Price_List!$AE$2:$AE$20</definedName>
    <definedName name="應龍王系列">Price_List!$AD$2:$AD$20</definedName>
    <definedName name="夔龍王系列">Price_List!$AI$2:$AI$20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99" i="4" l="1"/>
  <c r="E899" i="4"/>
  <c r="F898" i="4"/>
  <c r="E898" i="4"/>
  <c r="F897" i="4"/>
  <c r="E897" i="4"/>
  <c r="F896" i="4"/>
  <c r="E896" i="4"/>
  <c r="F895" i="4"/>
  <c r="E895" i="4"/>
  <c r="F894" i="4"/>
  <c r="E894" i="4"/>
  <c r="F893" i="4"/>
  <c r="E893" i="4"/>
  <c r="F892" i="4"/>
  <c r="E892" i="4"/>
  <c r="F891" i="4"/>
  <c r="E891" i="4"/>
  <c r="F890" i="4"/>
  <c r="E890" i="4"/>
  <c r="F889" i="4"/>
  <c r="E889" i="4"/>
  <c r="F888" i="4"/>
  <c r="E888" i="4"/>
  <c r="F887" i="4"/>
  <c r="E887" i="4"/>
  <c r="F886" i="4"/>
  <c r="E886" i="4"/>
  <c r="F885" i="4"/>
  <c r="E885" i="4"/>
  <c r="F884" i="4"/>
  <c r="E884" i="4"/>
  <c r="F883" i="4"/>
  <c r="E883" i="4"/>
  <c r="F882" i="4"/>
  <c r="E882" i="4"/>
  <c r="F881" i="4"/>
  <c r="E881" i="4"/>
  <c r="F880" i="4"/>
  <c r="E880" i="4"/>
  <c r="F879" i="4"/>
  <c r="E879" i="4"/>
  <c r="F878" i="4"/>
  <c r="E878" i="4"/>
  <c r="F877" i="4"/>
  <c r="E877" i="4"/>
  <c r="F876" i="4"/>
  <c r="E876" i="4"/>
  <c r="F875" i="4"/>
  <c r="E875" i="4"/>
  <c r="F874" i="4"/>
  <c r="E874" i="4"/>
  <c r="F873" i="4"/>
  <c r="E873" i="4"/>
  <c r="F872" i="4"/>
  <c r="E872" i="4"/>
  <c r="F871" i="4"/>
  <c r="E871" i="4"/>
  <c r="F870" i="4"/>
  <c r="E870" i="4"/>
  <c r="F869" i="4"/>
  <c r="E869" i="4"/>
  <c r="F868" i="4"/>
  <c r="E868" i="4"/>
  <c r="F867" i="4"/>
  <c r="E867" i="4"/>
  <c r="F866" i="4"/>
  <c r="E866" i="4"/>
  <c r="F865" i="4"/>
  <c r="E865" i="4"/>
  <c r="F864" i="4"/>
  <c r="E864" i="4"/>
  <c r="F863" i="4"/>
  <c r="E863" i="4"/>
  <c r="F862" i="4"/>
  <c r="E862" i="4"/>
  <c r="F861" i="4"/>
  <c r="E861" i="4"/>
  <c r="F860" i="4"/>
  <c r="E860" i="4"/>
  <c r="F859" i="4"/>
  <c r="E859" i="4"/>
  <c r="F858" i="4"/>
  <c r="E858" i="4"/>
  <c r="F857" i="4"/>
  <c r="E857" i="4"/>
  <c r="F856" i="4"/>
  <c r="E856" i="4"/>
  <c r="F855" i="4"/>
  <c r="E855" i="4"/>
  <c r="F854" i="4"/>
  <c r="E854" i="4"/>
  <c r="F853" i="4"/>
  <c r="E853" i="4"/>
  <c r="F852" i="4"/>
  <c r="E852" i="4"/>
  <c r="F851" i="4"/>
  <c r="E851" i="4"/>
  <c r="F850" i="4"/>
  <c r="E850" i="4"/>
  <c r="F849" i="4"/>
  <c r="E849" i="4"/>
  <c r="F848" i="4"/>
  <c r="E848" i="4"/>
  <c r="F847" i="4"/>
  <c r="E847" i="4"/>
  <c r="F846" i="4"/>
  <c r="E846" i="4"/>
  <c r="F845" i="4"/>
  <c r="E845" i="4"/>
  <c r="F844" i="4"/>
  <c r="E844" i="4"/>
  <c r="F843" i="4"/>
  <c r="E843" i="4"/>
  <c r="F842" i="4"/>
  <c r="E842" i="4"/>
  <c r="F841" i="4"/>
  <c r="E841" i="4"/>
  <c r="F840" i="4"/>
  <c r="E840" i="4"/>
  <c r="F839" i="4"/>
  <c r="E839" i="4"/>
  <c r="F838" i="4"/>
  <c r="E838" i="4"/>
  <c r="F837" i="4"/>
  <c r="E837" i="4"/>
  <c r="F836" i="4"/>
  <c r="E836" i="4"/>
  <c r="F835" i="4"/>
  <c r="E835" i="4"/>
  <c r="F834" i="4"/>
  <c r="E834" i="4"/>
  <c r="F833" i="4"/>
  <c r="E833" i="4"/>
  <c r="F832" i="4"/>
  <c r="E832" i="4"/>
  <c r="F831" i="4"/>
  <c r="E831" i="4"/>
  <c r="F830" i="4"/>
  <c r="E830" i="4"/>
  <c r="F829" i="4"/>
  <c r="E829" i="4"/>
  <c r="F828" i="4"/>
  <c r="E828" i="4"/>
  <c r="F827" i="4"/>
  <c r="E827" i="4"/>
  <c r="F826" i="4"/>
  <c r="E826" i="4"/>
  <c r="F825" i="4"/>
  <c r="E825" i="4"/>
  <c r="F824" i="4"/>
  <c r="E824" i="4"/>
  <c r="F823" i="4"/>
  <c r="E823" i="4"/>
  <c r="F822" i="4"/>
  <c r="E822" i="4"/>
  <c r="F821" i="4"/>
  <c r="E821" i="4"/>
  <c r="F820" i="4"/>
  <c r="E820" i="4"/>
  <c r="F819" i="4"/>
  <c r="E819" i="4"/>
  <c r="F818" i="4"/>
  <c r="E818" i="4"/>
  <c r="F817" i="4"/>
  <c r="E817" i="4"/>
  <c r="F816" i="4"/>
  <c r="E816" i="4"/>
  <c r="F815" i="4"/>
  <c r="E815" i="4"/>
  <c r="F814" i="4"/>
  <c r="E814" i="4"/>
  <c r="F813" i="4"/>
  <c r="E813" i="4"/>
  <c r="F812" i="4"/>
  <c r="E812" i="4"/>
  <c r="F811" i="4"/>
  <c r="E811" i="4"/>
  <c r="F810" i="4"/>
  <c r="E810" i="4"/>
  <c r="F809" i="4"/>
  <c r="E809" i="4"/>
  <c r="F808" i="4"/>
  <c r="E808" i="4"/>
  <c r="F807" i="4"/>
  <c r="E807" i="4"/>
  <c r="F806" i="4"/>
  <c r="E806" i="4"/>
  <c r="F805" i="4"/>
  <c r="E805" i="4"/>
  <c r="F804" i="4"/>
  <c r="E804" i="4"/>
  <c r="F803" i="4"/>
  <c r="E803" i="4"/>
  <c r="F802" i="4"/>
  <c r="E802" i="4"/>
  <c r="F801" i="4"/>
  <c r="E801" i="4"/>
  <c r="F800" i="4"/>
  <c r="E800" i="4"/>
  <c r="F799" i="4"/>
  <c r="E799" i="4"/>
  <c r="F798" i="4"/>
  <c r="E798" i="4"/>
  <c r="F797" i="4"/>
  <c r="E797" i="4"/>
  <c r="F796" i="4"/>
  <c r="E796" i="4"/>
  <c r="F795" i="4"/>
  <c r="E795" i="4"/>
  <c r="F794" i="4"/>
  <c r="E794" i="4"/>
  <c r="F793" i="4"/>
  <c r="E793" i="4"/>
  <c r="F792" i="4"/>
  <c r="E792" i="4"/>
  <c r="F791" i="4"/>
  <c r="E791" i="4"/>
  <c r="F790" i="4"/>
  <c r="E790" i="4"/>
  <c r="F789" i="4"/>
  <c r="E789" i="4"/>
  <c r="F788" i="4"/>
  <c r="E788" i="4"/>
  <c r="F787" i="4"/>
  <c r="E787" i="4"/>
  <c r="F786" i="4"/>
  <c r="E786" i="4"/>
  <c r="F785" i="4"/>
  <c r="E785" i="4"/>
  <c r="F784" i="4"/>
  <c r="E784" i="4"/>
  <c r="F783" i="4"/>
  <c r="E783" i="4"/>
  <c r="F782" i="4"/>
  <c r="E782" i="4"/>
  <c r="F781" i="4"/>
  <c r="E781" i="4"/>
  <c r="F780" i="4"/>
  <c r="E780" i="4"/>
  <c r="F779" i="4"/>
  <c r="E779" i="4"/>
  <c r="F778" i="4"/>
  <c r="E778" i="4"/>
  <c r="F777" i="4"/>
  <c r="E777" i="4"/>
  <c r="F776" i="4"/>
  <c r="E776" i="4"/>
  <c r="F775" i="4"/>
  <c r="E775" i="4"/>
  <c r="F774" i="4"/>
  <c r="E774" i="4"/>
  <c r="F773" i="4"/>
  <c r="E773" i="4"/>
  <c r="F772" i="4"/>
  <c r="E772" i="4"/>
  <c r="F771" i="4"/>
  <c r="E771" i="4"/>
  <c r="F770" i="4"/>
  <c r="E770" i="4"/>
  <c r="F769" i="4"/>
  <c r="E769" i="4"/>
  <c r="F768" i="4"/>
  <c r="E768" i="4"/>
  <c r="F767" i="4"/>
  <c r="E767" i="4"/>
  <c r="F766" i="4"/>
  <c r="E766" i="4"/>
  <c r="F765" i="4"/>
  <c r="E765" i="4"/>
  <c r="F764" i="4"/>
  <c r="E764" i="4"/>
  <c r="F763" i="4"/>
  <c r="E763" i="4"/>
  <c r="F762" i="4"/>
  <c r="E762" i="4"/>
  <c r="F761" i="4"/>
  <c r="E761" i="4"/>
  <c r="F760" i="4"/>
  <c r="E760" i="4"/>
  <c r="F759" i="4"/>
  <c r="E759" i="4"/>
  <c r="F758" i="4"/>
  <c r="E758" i="4"/>
  <c r="F757" i="4"/>
  <c r="E757" i="4"/>
  <c r="F756" i="4"/>
  <c r="E756" i="4"/>
  <c r="F755" i="4"/>
  <c r="E755" i="4"/>
  <c r="F754" i="4"/>
  <c r="E754" i="4"/>
  <c r="F753" i="4"/>
  <c r="E753" i="4"/>
  <c r="F752" i="4"/>
  <c r="E752" i="4"/>
  <c r="F751" i="4"/>
  <c r="E751" i="4"/>
  <c r="F750" i="4"/>
  <c r="E750" i="4"/>
  <c r="F749" i="4"/>
  <c r="E749" i="4"/>
  <c r="F748" i="4"/>
  <c r="E748" i="4"/>
  <c r="F747" i="4"/>
  <c r="E747" i="4"/>
  <c r="F746" i="4"/>
  <c r="E746" i="4"/>
  <c r="F745" i="4"/>
  <c r="E745" i="4"/>
  <c r="F744" i="4"/>
  <c r="E744" i="4"/>
  <c r="F743" i="4"/>
  <c r="E743" i="4"/>
  <c r="F742" i="4"/>
  <c r="E742" i="4"/>
  <c r="F741" i="4"/>
  <c r="E741" i="4"/>
  <c r="F740" i="4"/>
  <c r="E740" i="4"/>
  <c r="F739" i="4"/>
  <c r="E739" i="4"/>
  <c r="F738" i="4"/>
  <c r="E738" i="4"/>
  <c r="F737" i="4"/>
  <c r="E737" i="4"/>
  <c r="F736" i="4"/>
  <c r="E736" i="4"/>
  <c r="F735" i="4"/>
  <c r="E735" i="4"/>
  <c r="F734" i="4"/>
  <c r="E734" i="4"/>
  <c r="F733" i="4"/>
  <c r="E733" i="4"/>
  <c r="F732" i="4"/>
  <c r="E732" i="4"/>
  <c r="F731" i="4"/>
  <c r="E731" i="4"/>
  <c r="F730" i="4"/>
  <c r="E730" i="4"/>
  <c r="F729" i="4"/>
  <c r="E729" i="4"/>
  <c r="F728" i="4"/>
  <c r="E728" i="4"/>
  <c r="F727" i="4"/>
  <c r="E727" i="4"/>
  <c r="F726" i="4"/>
  <c r="E726" i="4"/>
  <c r="F725" i="4"/>
  <c r="E725" i="4"/>
  <c r="F724" i="4"/>
  <c r="E724" i="4"/>
  <c r="F723" i="4"/>
  <c r="E723" i="4"/>
  <c r="F722" i="4"/>
  <c r="E722" i="4"/>
  <c r="F721" i="4"/>
  <c r="E721" i="4"/>
  <c r="F720" i="4"/>
  <c r="E720" i="4"/>
  <c r="F719" i="4"/>
  <c r="E719" i="4"/>
  <c r="F718" i="4"/>
  <c r="E718" i="4"/>
  <c r="F717" i="4"/>
  <c r="E717" i="4"/>
  <c r="F716" i="4"/>
  <c r="E716" i="4"/>
  <c r="F715" i="4"/>
  <c r="E715" i="4"/>
  <c r="F714" i="4"/>
  <c r="E714" i="4"/>
  <c r="F713" i="4"/>
  <c r="E713" i="4"/>
  <c r="F712" i="4"/>
  <c r="E712" i="4"/>
  <c r="F711" i="4"/>
  <c r="E711" i="4"/>
  <c r="F710" i="4"/>
  <c r="E710" i="4"/>
  <c r="F709" i="4"/>
  <c r="E709" i="4"/>
  <c r="F708" i="4"/>
  <c r="E708" i="4"/>
  <c r="F707" i="4"/>
  <c r="E707" i="4"/>
  <c r="F706" i="4"/>
  <c r="E706" i="4"/>
  <c r="F705" i="4"/>
  <c r="E705" i="4"/>
  <c r="F704" i="4"/>
  <c r="E704" i="4"/>
  <c r="F703" i="4"/>
  <c r="E703" i="4"/>
  <c r="F702" i="4"/>
  <c r="E702" i="4"/>
  <c r="F701" i="4"/>
  <c r="E701" i="4"/>
  <c r="F700" i="4"/>
  <c r="E700" i="4"/>
  <c r="F699" i="4"/>
  <c r="E699" i="4"/>
  <c r="F698" i="4"/>
  <c r="E698" i="4"/>
  <c r="F697" i="4"/>
  <c r="E697" i="4"/>
  <c r="F696" i="4"/>
  <c r="E696" i="4"/>
  <c r="F695" i="4"/>
  <c r="E695" i="4"/>
  <c r="F694" i="4"/>
  <c r="E694" i="4"/>
  <c r="F693" i="4"/>
  <c r="E693" i="4"/>
  <c r="F692" i="4"/>
  <c r="E692" i="4"/>
  <c r="F691" i="4"/>
  <c r="E691" i="4"/>
  <c r="F690" i="4"/>
  <c r="E690" i="4"/>
  <c r="F689" i="4"/>
  <c r="E689" i="4"/>
  <c r="F688" i="4"/>
  <c r="E688" i="4"/>
  <c r="F687" i="4"/>
  <c r="E687" i="4"/>
  <c r="F686" i="4"/>
  <c r="E686" i="4"/>
  <c r="F685" i="4"/>
  <c r="E685" i="4"/>
  <c r="F684" i="4"/>
  <c r="E684" i="4"/>
  <c r="F683" i="4"/>
  <c r="E683" i="4"/>
  <c r="F682" i="4"/>
  <c r="E682" i="4"/>
  <c r="F681" i="4"/>
  <c r="E681" i="4"/>
  <c r="F680" i="4"/>
  <c r="E680" i="4"/>
  <c r="F679" i="4"/>
  <c r="E679" i="4"/>
  <c r="F678" i="4"/>
  <c r="E678" i="4"/>
  <c r="F677" i="4"/>
  <c r="E677" i="4"/>
  <c r="F676" i="4"/>
  <c r="E676" i="4"/>
  <c r="F675" i="4"/>
  <c r="E675" i="4"/>
  <c r="F674" i="4"/>
  <c r="E674" i="4"/>
  <c r="F673" i="4"/>
  <c r="E673" i="4"/>
  <c r="F672" i="4"/>
  <c r="E672" i="4"/>
  <c r="F671" i="4"/>
  <c r="E671" i="4"/>
  <c r="F670" i="4"/>
  <c r="E670" i="4"/>
  <c r="F669" i="4"/>
  <c r="E669" i="4"/>
  <c r="F668" i="4"/>
  <c r="E668" i="4"/>
  <c r="F667" i="4"/>
  <c r="E667" i="4"/>
  <c r="F666" i="4"/>
  <c r="E666" i="4"/>
  <c r="F665" i="4"/>
  <c r="E665" i="4"/>
  <c r="F664" i="4"/>
  <c r="E664" i="4"/>
  <c r="F663" i="4"/>
  <c r="E663" i="4"/>
  <c r="F662" i="4"/>
  <c r="E662" i="4"/>
  <c r="F661" i="4"/>
  <c r="E661" i="4"/>
  <c r="F660" i="4"/>
  <c r="E660" i="4"/>
  <c r="F659" i="4"/>
  <c r="E659" i="4"/>
  <c r="F658" i="4"/>
  <c r="E658" i="4"/>
  <c r="F657" i="4"/>
  <c r="E657" i="4"/>
  <c r="F656" i="4"/>
  <c r="E656" i="4"/>
  <c r="F655" i="4"/>
  <c r="E655" i="4"/>
  <c r="F654" i="4"/>
  <c r="E654" i="4"/>
  <c r="F653" i="4"/>
  <c r="E653" i="4"/>
  <c r="F652" i="4"/>
  <c r="E652" i="4"/>
  <c r="F651" i="4"/>
  <c r="E651" i="4"/>
  <c r="F650" i="4"/>
  <c r="E650" i="4"/>
  <c r="F649" i="4"/>
  <c r="E649" i="4"/>
  <c r="F648" i="4"/>
  <c r="E648" i="4"/>
  <c r="F647" i="4"/>
  <c r="E647" i="4"/>
  <c r="F646" i="4"/>
  <c r="E646" i="4"/>
  <c r="F645" i="4"/>
  <c r="E645" i="4"/>
  <c r="F644" i="4"/>
  <c r="E644" i="4"/>
  <c r="F643" i="4"/>
  <c r="E643" i="4"/>
  <c r="F642" i="4"/>
  <c r="E642" i="4"/>
  <c r="F641" i="4"/>
  <c r="E641" i="4"/>
  <c r="F640" i="4"/>
  <c r="E640" i="4"/>
  <c r="F639" i="4"/>
  <c r="E639" i="4"/>
  <c r="F638" i="4"/>
  <c r="E638" i="4"/>
  <c r="F637" i="4"/>
  <c r="E637" i="4"/>
  <c r="F636" i="4"/>
  <c r="E636" i="4"/>
  <c r="F635" i="4"/>
  <c r="E635" i="4"/>
  <c r="F634" i="4"/>
  <c r="E634" i="4"/>
  <c r="F633" i="4"/>
  <c r="E633" i="4"/>
  <c r="F632" i="4"/>
  <c r="E632" i="4"/>
  <c r="F631" i="4"/>
  <c r="E631" i="4"/>
  <c r="F630" i="4"/>
  <c r="E630" i="4"/>
  <c r="F629" i="4"/>
  <c r="E629" i="4"/>
  <c r="F628" i="4"/>
  <c r="E628" i="4"/>
  <c r="F627" i="4"/>
  <c r="E627" i="4"/>
  <c r="F626" i="4"/>
  <c r="E626" i="4"/>
  <c r="F625" i="4"/>
  <c r="E625" i="4"/>
  <c r="F624" i="4"/>
  <c r="E624" i="4"/>
  <c r="F623" i="4"/>
  <c r="E623" i="4"/>
  <c r="F622" i="4"/>
  <c r="E622" i="4"/>
  <c r="F621" i="4"/>
  <c r="E621" i="4"/>
  <c r="F620" i="4"/>
  <c r="E620" i="4"/>
  <c r="F619" i="4"/>
  <c r="E619" i="4"/>
  <c r="F618" i="4"/>
  <c r="E618" i="4"/>
  <c r="F617" i="4"/>
  <c r="E617" i="4"/>
  <c r="F616" i="4"/>
  <c r="E616" i="4"/>
  <c r="F615" i="4"/>
  <c r="E615" i="4"/>
  <c r="F614" i="4"/>
  <c r="E614" i="4"/>
  <c r="F613" i="4"/>
  <c r="E613" i="4"/>
  <c r="F612" i="4"/>
  <c r="E612" i="4"/>
  <c r="F611" i="4"/>
  <c r="E611" i="4"/>
  <c r="F610" i="4"/>
  <c r="E610" i="4"/>
  <c r="F609" i="4"/>
  <c r="E609" i="4"/>
  <c r="F608" i="4"/>
  <c r="E608" i="4"/>
  <c r="F607" i="4"/>
  <c r="E607" i="4"/>
  <c r="F606" i="4"/>
  <c r="E606" i="4"/>
  <c r="F605" i="4"/>
  <c r="E605" i="4"/>
  <c r="F604" i="4"/>
  <c r="E604" i="4"/>
  <c r="F603" i="4"/>
  <c r="E603" i="4"/>
  <c r="F602" i="4"/>
  <c r="E602" i="4"/>
  <c r="F601" i="4"/>
  <c r="E601" i="4"/>
  <c r="F600" i="4"/>
  <c r="E600" i="4"/>
  <c r="F599" i="4"/>
  <c r="E599" i="4"/>
  <c r="F598" i="4"/>
  <c r="E598" i="4"/>
  <c r="F597" i="4"/>
  <c r="E597" i="4"/>
  <c r="F596" i="4"/>
  <c r="E596" i="4"/>
  <c r="F595" i="4"/>
  <c r="E595" i="4"/>
  <c r="F594" i="4"/>
  <c r="E594" i="4"/>
  <c r="F593" i="4"/>
  <c r="E593" i="4"/>
  <c r="F592" i="4"/>
  <c r="E592" i="4"/>
  <c r="F591" i="4"/>
  <c r="E591" i="4"/>
  <c r="F590" i="4"/>
  <c r="E590" i="4"/>
  <c r="F589" i="4"/>
  <c r="E589" i="4"/>
  <c r="F588" i="4"/>
  <c r="E588" i="4"/>
  <c r="F587" i="4"/>
  <c r="E587" i="4"/>
  <c r="F586" i="4"/>
  <c r="E586" i="4"/>
  <c r="F585" i="4"/>
  <c r="E585" i="4"/>
  <c r="F584" i="4"/>
  <c r="E584" i="4"/>
  <c r="F583" i="4"/>
  <c r="E583" i="4"/>
  <c r="F582" i="4"/>
  <c r="E582" i="4"/>
  <c r="F581" i="4"/>
  <c r="E581" i="4"/>
  <c r="F580" i="4"/>
  <c r="E580" i="4"/>
  <c r="F579" i="4"/>
  <c r="E579" i="4"/>
  <c r="F578" i="4"/>
  <c r="E578" i="4"/>
  <c r="F577" i="4"/>
  <c r="E577" i="4"/>
  <c r="F576" i="4"/>
  <c r="E576" i="4"/>
  <c r="F575" i="4"/>
  <c r="E575" i="4"/>
  <c r="F574" i="4"/>
  <c r="E574" i="4"/>
  <c r="F573" i="4"/>
  <c r="E573" i="4"/>
  <c r="F572" i="4"/>
  <c r="E572" i="4"/>
  <c r="E470" i="4"/>
  <c r="F470" i="4" s="1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6" i="2"/>
  <c r="C6" i="2"/>
  <c r="E538" i="4" s="1"/>
  <c r="F538" i="4" s="1"/>
  <c r="D8" i="2"/>
  <c r="C8" i="2"/>
  <c r="E465" i="4" s="1"/>
  <c r="F465" i="4" s="1"/>
  <c r="D9" i="2"/>
  <c r="C9" i="2"/>
  <c r="E246" i="4" s="1"/>
  <c r="F246" i="4" s="1"/>
  <c r="D23" i="2"/>
  <c r="C23" i="2"/>
  <c r="E244" i="4" s="1"/>
  <c r="F244" i="4" s="1"/>
  <c r="D24" i="2"/>
  <c r="C24" i="2"/>
  <c r="E524" i="4" s="1"/>
  <c r="F524" i="4" s="1"/>
  <c r="D21" i="2"/>
  <c r="C21" i="2"/>
  <c r="E518" i="4" s="1"/>
  <c r="F518" i="4" s="1"/>
  <c r="D17" i="2"/>
  <c r="C17" i="2"/>
  <c r="E298" i="4" s="1"/>
  <c r="F298" i="4" s="1"/>
  <c r="D12" i="2"/>
  <c r="C12" i="2"/>
  <c r="E370" i="4" s="1"/>
  <c r="F370" i="4" s="1"/>
  <c r="D13" i="2"/>
  <c r="C13" i="2"/>
  <c r="E498" i="4" s="1"/>
  <c r="F498" i="4" s="1"/>
  <c r="D43" i="2"/>
  <c r="C43" i="2"/>
  <c r="E273" i="4" s="1"/>
  <c r="F273" i="4" s="1"/>
  <c r="D42" i="2"/>
  <c r="C42" i="2"/>
  <c r="E72" i="4" s="1"/>
  <c r="F72" i="4" s="1"/>
  <c r="D40" i="2"/>
  <c r="C40" i="2"/>
  <c r="E40" i="4" s="1"/>
  <c r="F40" i="4" s="1"/>
  <c r="D15" i="2"/>
  <c r="C15" i="2"/>
  <c r="E379" i="4" s="1"/>
  <c r="F379" i="4" s="1"/>
  <c r="D4" i="2"/>
  <c r="C4" i="2"/>
  <c r="E500" i="4" s="1"/>
  <c r="F500" i="4" s="1"/>
  <c r="D2" i="2"/>
  <c r="C2" i="2"/>
  <c r="E556" i="4" s="1"/>
  <c r="F556" i="4" s="1"/>
  <c r="D41" i="2"/>
  <c r="C41" i="2"/>
  <c r="E127" i="4" s="1"/>
  <c r="F127" i="4" s="1"/>
  <c r="D29" i="2"/>
  <c r="C29" i="2"/>
  <c r="E191" i="4" s="1"/>
  <c r="F191" i="4" s="1"/>
  <c r="D28" i="2"/>
  <c r="C28" i="2"/>
  <c r="E352" i="4" s="1"/>
  <c r="F352" i="4" s="1"/>
  <c r="D14" i="2"/>
  <c r="C14" i="2"/>
  <c r="E324" i="4" s="1"/>
  <c r="F324" i="4" s="1"/>
  <c r="D11" i="2"/>
  <c r="C11" i="2"/>
  <c r="E554" i="4" s="1"/>
  <c r="F554" i="4" s="1"/>
  <c r="D26" i="2"/>
  <c r="C26" i="2"/>
  <c r="E56" i="4" s="1"/>
  <c r="F56" i="4" s="1"/>
  <c r="D20" i="2"/>
  <c r="C20" i="2"/>
  <c r="E271" i="4" s="1"/>
  <c r="F271" i="4" s="1"/>
  <c r="D27" i="2"/>
  <c r="C27" i="2"/>
  <c r="E463" i="4" s="1"/>
  <c r="F463" i="4" s="1"/>
  <c r="D25" i="2"/>
  <c r="C25" i="2"/>
  <c r="E142" i="4" s="1"/>
  <c r="F142" i="4" s="1"/>
  <c r="D22" i="2"/>
  <c r="C22" i="2"/>
  <c r="E70" i="4" s="1"/>
  <c r="F70" i="4" s="1"/>
  <c r="D19" i="2"/>
  <c r="C19" i="2"/>
  <c r="E166" i="4" s="1"/>
  <c r="F166" i="4" s="1"/>
  <c r="D18" i="2"/>
  <c r="C18" i="2"/>
  <c r="E174" i="4" s="1"/>
  <c r="F174" i="4" s="1"/>
  <c r="D16" i="2"/>
  <c r="C16" i="2"/>
  <c r="E38" i="4" s="1"/>
  <c r="F38" i="4" s="1"/>
  <c r="D30" i="2"/>
  <c r="C30" i="2"/>
  <c r="E525" i="4" s="1"/>
  <c r="F525" i="4" s="1"/>
  <c r="D10" i="2"/>
  <c r="C10" i="2"/>
  <c r="E286" i="4" s="1"/>
  <c r="F286" i="4" s="1"/>
  <c r="D39" i="2"/>
  <c r="C39" i="2"/>
  <c r="E350" i="4" s="1"/>
  <c r="F350" i="4" s="1"/>
  <c r="D38" i="2"/>
  <c r="C38" i="2"/>
  <c r="E570" i="4" s="1"/>
  <c r="F570" i="4" s="1"/>
  <c r="D35" i="2"/>
  <c r="C35" i="2"/>
  <c r="E53" i="4" s="1"/>
  <c r="F53" i="4" s="1"/>
  <c r="D34" i="2"/>
  <c r="C34" i="2"/>
  <c r="E482" i="4" s="1"/>
  <c r="F482" i="4" s="1"/>
  <c r="D36" i="2"/>
  <c r="C36" i="2"/>
  <c r="E269" i="4" s="1"/>
  <c r="F269" i="4" s="1"/>
  <c r="D37" i="2"/>
  <c r="C37" i="2"/>
  <c r="E541" i="4" s="1"/>
  <c r="F541" i="4" s="1"/>
  <c r="D7" i="2"/>
  <c r="C7" i="2"/>
  <c r="E429" i="4" s="1"/>
  <c r="F429" i="4" s="1"/>
  <c r="D31" i="2"/>
  <c r="C31" i="2"/>
  <c r="E249" i="4" s="1"/>
  <c r="F249" i="4" s="1"/>
  <c r="D33" i="2"/>
  <c r="C33" i="2"/>
  <c r="E509" i="4" s="1"/>
  <c r="F509" i="4" s="1"/>
  <c r="D32" i="2"/>
  <c r="C32" i="2"/>
  <c r="E466" i="4" s="1"/>
  <c r="F466" i="4" s="1"/>
  <c r="D5" i="2"/>
  <c r="C5" i="2"/>
  <c r="E354" i="4" s="1"/>
  <c r="F354" i="4" s="1"/>
  <c r="D3" i="2"/>
  <c r="C3" i="2"/>
  <c r="E144" i="4" s="1"/>
  <c r="F144" i="4" s="1"/>
  <c r="E21" i="1"/>
  <c r="E20" i="1"/>
  <c r="E19" i="1"/>
  <c r="B6" i="1"/>
  <c r="I5" i="1"/>
  <c r="E207" i="4" l="1"/>
  <c r="F207" i="4" s="1"/>
  <c r="E107" i="4"/>
  <c r="F107" i="4" s="1"/>
  <c r="E231" i="4"/>
  <c r="F231" i="4" s="1"/>
  <c r="E403" i="4"/>
  <c r="F403" i="4" s="1"/>
  <c r="E202" i="4"/>
  <c r="F202" i="4" s="1"/>
  <c r="E118" i="4"/>
  <c r="F118" i="4" s="1"/>
  <c r="E78" i="4"/>
  <c r="F78" i="4" s="1"/>
  <c r="E339" i="4"/>
  <c r="F339" i="4" s="1"/>
  <c r="E204" i="4"/>
  <c r="F204" i="4" s="1"/>
  <c r="E146" i="4"/>
  <c r="F146" i="4" s="1"/>
  <c r="E217" i="4"/>
  <c r="F217" i="4" s="1"/>
  <c r="E355" i="4"/>
  <c r="F355" i="4" s="1"/>
  <c r="E205" i="4"/>
  <c r="F205" i="4" s="1"/>
  <c r="E149" i="4"/>
  <c r="F149" i="4" s="1"/>
  <c r="E287" i="4"/>
  <c r="F287" i="4" s="1"/>
  <c r="E371" i="4"/>
  <c r="F371" i="4" s="1"/>
  <c r="E206" i="4"/>
  <c r="F206" i="4" s="1"/>
  <c r="E150" i="4"/>
  <c r="F150" i="4" s="1"/>
  <c r="E254" i="4"/>
  <c r="F254" i="4" s="1"/>
  <c r="E387" i="4"/>
  <c r="F387" i="4" s="1"/>
  <c r="E194" i="4"/>
  <c r="F194" i="4" s="1"/>
  <c r="E110" i="4"/>
  <c r="F110" i="4" s="1"/>
  <c r="E234" i="4"/>
  <c r="F234" i="4" s="1"/>
  <c r="E419" i="4"/>
  <c r="F419" i="4" s="1"/>
  <c r="E195" i="4"/>
  <c r="F195" i="4" s="1"/>
  <c r="E111" i="4"/>
  <c r="F111" i="4" s="1"/>
  <c r="E274" i="4"/>
  <c r="F274" i="4" s="1"/>
  <c r="E435" i="4"/>
  <c r="F435" i="4" s="1"/>
  <c r="E196" i="4"/>
  <c r="F196" i="4" s="1"/>
  <c r="E31" i="4"/>
  <c r="F31" i="4" s="1"/>
  <c r="E277" i="4"/>
  <c r="F277" i="4" s="1"/>
  <c r="E451" i="4"/>
  <c r="F451" i="4" s="1"/>
  <c r="E197" i="4"/>
  <c r="F197" i="4" s="1"/>
  <c r="E16" i="4"/>
  <c r="F16" i="4" s="1"/>
  <c r="E299" i="4"/>
  <c r="F299" i="4" s="1"/>
  <c r="E467" i="4"/>
  <c r="F467" i="4" s="1"/>
  <c r="E198" i="4"/>
  <c r="F198" i="4" s="1"/>
  <c r="E41" i="4"/>
  <c r="F41" i="4" s="1"/>
  <c r="E302" i="4"/>
  <c r="F302" i="4" s="1"/>
  <c r="E320" i="4"/>
  <c r="F320" i="4" s="1"/>
  <c r="E171" i="4"/>
  <c r="F171" i="4" s="1"/>
  <c r="E20" i="4"/>
  <c r="F20" i="4" s="1"/>
  <c r="E270" i="4"/>
  <c r="F270" i="4" s="1"/>
  <c r="E483" i="4"/>
  <c r="F483" i="4" s="1"/>
  <c r="E154" i="4"/>
  <c r="F154" i="4" s="1"/>
  <c r="E186" i="4"/>
  <c r="F186" i="4" s="1"/>
  <c r="E57" i="4"/>
  <c r="F57" i="4" s="1"/>
  <c r="E237" i="4"/>
  <c r="F237" i="4" s="1"/>
  <c r="E499" i="4"/>
  <c r="F499" i="4" s="1"/>
  <c r="E155" i="4"/>
  <c r="F155" i="4" s="1"/>
  <c r="E189" i="4"/>
  <c r="F189" i="4" s="1"/>
  <c r="E60" i="4"/>
  <c r="F60" i="4" s="1"/>
  <c r="E250" i="4"/>
  <c r="F250" i="4" s="1"/>
  <c r="E510" i="4"/>
  <c r="F510" i="4" s="1"/>
  <c r="E156" i="4"/>
  <c r="F156" i="4" s="1"/>
  <c r="E190" i="4"/>
  <c r="F190" i="4" s="1"/>
  <c r="E73" i="4"/>
  <c r="F73" i="4" s="1"/>
  <c r="E208" i="4"/>
  <c r="F208" i="4" s="1"/>
  <c r="E526" i="4"/>
  <c r="F526" i="4" s="1"/>
  <c r="E157" i="4"/>
  <c r="F157" i="4" s="1"/>
  <c r="E114" i="4"/>
  <c r="F114" i="4" s="1"/>
  <c r="E76" i="4"/>
  <c r="F76" i="4" s="1"/>
  <c r="E54" i="4"/>
  <c r="F54" i="4" s="1"/>
  <c r="E542" i="4"/>
  <c r="F542" i="4" s="1"/>
  <c r="E139" i="4"/>
  <c r="F139" i="4" s="1"/>
  <c r="E117" i="4"/>
  <c r="F117" i="4" s="1"/>
  <c r="E103" i="4"/>
  <c r="F103" i="4" s="1"/>
  <c r="E326" i="4"/>
  <c r="F326" i="4" s="1"/>
  <c r="E557" i="4"/>
  <c r="F557" i="4" s="1"/>
  <c r="E203" i="4"/>
  <c r="F203" i="4" s="1"/>
  <c r="E187" i="4"/>
  <c r="F187" i="4" s="1"/>
  <c r="E115" i="4"/>
  <c r="F115" i="4" s="1"/>
  <c r="E147" i="4"/>
  <c r="F147" i="4" s="1"/>
  <c r="E108" i="4"/>
  <c r="F108" i="4" s="1"/>
  <c r="E14" i="4"/>
  <c r="F14" i="4" s="1"/>
  <c r="E42" i="4"/>
  <c r="F42" i="4" s="1"/>
  <c r="E58" i="4"/>
  <c r="F58" i="4" s="1"/>
  <c r="E74" i="4"/>
  <c r="F74" i="4" s="1"/>
  <c r="E104" i="4"/>
  <c r="F104" i="4" s="1"/>
  <c r="E218" i="4"/>
  <c r="F218" i="4" s="1"/>
  <c r="E288" i="4"/>
  <c r="F288" i="4" s="1"/>
  <c r="E232" i="4"/>
  <c r="F232" i="4" s="1"/>
  <c r="E275" i="4"/>
  <c r="F275" i="4" s="1"/>
  <c r="E300" i="4"/>
  <c r="F300" i="4" s="1"/>
  <c r="E235" i="4"/>
  <c r="F235" i="4" s="1"/>
  <c r="E251" i="4"/>
  <c r="F251" i="4" s="1"/>
  <c r="E55" i="4"/>
  <c r="F55" i="4" s="1"/>
  <c r="E340" i="4"/>
  <c r="F340" i="4" s="1"/>
  <c r="E356" i="4"/>
  <c r="F356" i="4" s="1"/>
  <c r="E372" i="4"/>
  <c r="F372" i="4" s="1"/>
  <c r="E388" i="4"/>
  <c r="F388" i="4" s="1"/>
  <c r="E404" i="4"/>
  <c r="F404" i="4" s="1"/>
  <c r="E420" i="4"/>
  <c r="F420" i="4" s="1"/>
  <c r="E436" i="4"/>
  <c r="F436" i="4" s="1"/>
  <c r="E452" i="4"/>
  <c r="F452" i="4" s="1"/>
  <c r="E468" i="4"/>
  <c r="F468" i="4" s="1"/>
  <c r="E484" i="4"/>
  <c r="F484" i="4" s="1"/>
  <c r="E49" i="4"/>
  <c r="F49" i="4" s="1"/>
  <c r="E511" i="4"/>
  <c r="F511" i="4" s="1"/>
  <c r="E527" i="4"/>
  <c r="F527" i="4" s="1"/>
  <c r="E543" i="4"/>
  <c r="F543" i="4" s="1"/>
  <c r="E558" i="4"/>
  <c r="F558" i="4" s="1"/>
  <c r="E188" i="4"/>
  <c r="F188" i="4" s="1"/>
  <c r="E116" i="4"/>
  <c r="F116" i="4" s="1"/>
  <c r="E148" i="4"/>
  <c r="F148" i="4" s="1"/>
  <c r="E109" i="4"/>
  <c r="F109" i="4" s="1"/>
  <c r="E15" i="4"/>
  <c r="F15" i="4" s="1"/>
  <c r="E43" i="4"/>
  <c r="F43" i="4" s="1"/>
  <c r="E59" i="4"/>
  <c r="F59" i="4" s="1"/>
  <c r="E75" i="4"/>
  <c r="F75" i="4" s="1"/>
  <c r="E77" i="4"/>
  <c r="F77" i="4" s="1"/>
  <c r="E219" i="4"/>
  <c r="F219" i="4" s="1"/>
  <c r="E253" i="4"/>
  <c r="F253" i="4" s="1"/>
  <c r="E233" i="4"/>
  <c r="F233" i="4" s="1"/>
  <c r="E276" i="4"/>
  <c r="F276" i="4" s="1"/>
  <c r="E301" i="4"/>
  <c r="F301" i="4" s="1"/>
  <c r="E236" i="4"/>
  <c r="F236" i="4" s="1"/>
  <c r="E252" i="4"/>
  <c r="F252" i="4" s="1"/>
  <c r="E325" i="4"/>
  <c r="F325" i="4" s="1"/>
  <c r="E341" i="4"/>
  <c r="F341" i="4" s="1"/>
  <c r="E357" i="4"/>
  <c r="F357" i="4" s="1"/>
  <c r="E373" i="4"/>
  <c r="F373" i="4" s="1"/>
  <c r="E389" i="4"/>
  <c r="F389" i="4" s="1"/>
  <c r="E405" i="4"/>
  <c r="F405" i="4" s="1"/>
  <c r="E421" i="4"/>
  <c r="F421" i="4" s="1"/>
  <c r="E437" i="4"/>
  <c r="F437" i="4" s="1"/>
  <c r="E453" i="4"/>
  <c r="F453" i="4" s="1"/>
  <c r="E469" i="4"/>
  <c r="F469" i="4" s="1"/>
  <c r="E485" i="4"/>
  <c r="F485" i="4" s="1"/>
  <c r="E48" i="4"/>
  <c r="F48" i="4" s="1"/>
  <c r="E512" i="4"/>
  <c r="F512" i="4" s="1"/>
  <c r="E528" i="4"/>
  <c r="F528" i="4" s="1"/>
  <c r="E544" i="4"/>
  <c r="F544" i="4" s="1"/>
  <c r="E559" i="4"/>
  <c r="F559" i="4" s="1"/>
  <c r="E342" i="4"/>
  <c r="F342" i="4" s="1"/>
  <c r="E358" i="4"/>
  <c r="F358" i="4" s="1"/>
  <c r="E374" i="4"/>
  <c r="F374" i="4" s="1"/>
  <c r="E390" i="4"/>
  <c r="F390" i="4" s="1"/>
  <c r="E406" i="4"/>
  <c r="F406" i="4" s="1"/>
  <c r="E422" i="4"/>
  <c r="F422" i="4" s="1"/>
  <c r="E438" i="4"/>
  <c r="F438" i="4" s="1"/>
  <c r="E454" i="4"/>
  <c r="F454" i="4" s="1"/>
  <c r="E486" i="4"/>
  <c r="F486" i="4" s="1"/>
  <c r="E47" i="4"/>
  <c r="F47" i="4" s="1"/>
  <c r="E513" i="4"/>
  <c r="F513" i="4" s="1"/>
  <c r="E529" i="4"/>
  <c r="F529" i="4" s="1"/>
  <c r="E545" i="4"/>
  <c r="F545" i="4" s="1"/>
  <c r="E560" i="4"/>
  <c r="F560" i="4" s="1"/>
  <c r="E17" i="4"/>
  <c r="F17" i="4" s="1"/>
  <c r="E21" i="4"/>
  <c r="F21" i="4" s="1"/>
  <c r="E61" i="4"/>
  <c r="F61" i="4" s="1"/>
  <c r="E63" i="4"/>
  <c r="F63" i="4" s="1"/>
  <c r="E79" i="4"/>
  <c r="F79" i="4" s="1"/>
  <c r="E221" i="4"/>
  <c r="F221" i="4" s="1"/>
  <c r="E255" i="4"/>
  <c r="F255" i="4" s="1"/>
  <c r="E307" i="4"/>
  <c r="F307" i="4" s="1"/>
  <c r="E278" i="4"/>
  <c r="F278" i="4" s="1"/>
  <c r="E303" i="4"/>
  <c r="F303" i="4" s="1"/>
  <c r="E238" i="4"/>
  <c r="F238" i="4" s="1"/>
  <c r="E209" i="4"/>
  <c r="F209" i="4" s="1"/>
  <c r="E327" i="4"/>
  <c r="F327" i="4" s="1"/>
  <c r="E343" i="4"/>
  <c r="F343" i="4" s="1"/>
  <c r="E359" i="4"/>
  <c r="F359" i="4" s="1"/>
  <c r="E375" i="4"/>
  <c r="F375" i="4" s="1"/>
  <c r="E391" i="4"/>
  <c r="F391" i="4" s="1"/>
  <c r="E407" i="4"/>
  <c r="F407" i="4" s="1"/>
  <c r="E423" i="4"/>
  <c r="F423" i="4" s="1"/>
  <c r="E439" i="4"/>
  <c r="F439" i="4" s="1"/>
  <c r="E455" i="4"/>
  <c r="F455" i="4" s="1"/>
  <c r="E471" i="4"/>
  <c r="F471" i="4" s="1"/>
  <c r="E487" i="4"/>
  <c r="F487" i="4" s="1"/>
  <c r="E46" i="4"/>
  <c r="F46" i="4" s="1"/>
  <c r="E514" i="4"/>
  <c r="F514" i="4" s="1"/>
  <c r="E530" i="4"/>
  <c r="F530" i="4" s="1"/>
  <c r="E546" i="4"/>
  <c r="F546" i="4" s="1"/>
  <c r="E561" i="4"/>
  <c r="F561" i="4" s="1"/>
  <c r="E199" i="4"/>
  <c r="F199" i="4" s="1"/>
  <c r="E119" i="4"/>
  <c r="F119" i="4" s="1"/>
  <c r="E151" i="4"/>
  <c r="F151" i="4" s="1"/>
  <c r="E2" i="4"/>
  <c r="F2" i="4" s="1"/>
  <c r="E18" i="4"/>
  <c r="F18" i="4" s="1"/>
  <c r="E22" i="4"/>
  <c r="F22" i="4" s="1"/>
  <c r="E62" i="4"/>
  <c r="F62" i="4" s="1"/>
  <c r="E64" i="4"/>
  <c r="F64" i="4" s="1"/>
  <c r="E80" i="4"/>
  <c r="F80" i="4" s="1"/>
  <c r="E222" i="4"/>
  <c r="F222" i="4" s="1"/>
  <c r="E256" i="4"/>
  <c r="F256" i="4" s="1"/>
  <c r="E308" i="4"/>
  <c r="F308" i="4" s="1"/>
  <c r="E279" i="4"/>
  <c r="F279" i="4" s="1"/>
  <c r="E304" i="4"/>
  <c r="F304" i="4" s="1"/>
  <c r="E239" i="4"/>
  <c r="F239" i="4" s="1"/>
  <c r="E210" i="4"/>
  <c r="F210" i="4" s="1"/>
  <c r="E328" i="4"/>
  <c r="F328" i="4" s="1"/>
  <c r="E344" i="4"/>
  <c r="F344" i="4" s="1"/>
  <c r="E360" i="4"/>
  <c r="F360" i="4" s="1"/>
  <c r="E376" i="4"/>
  <c r="F376" i="4" s="1"/>
  <c r="E392" i="4"/>
  <c r="F392" i="4" s="1"/>
  <c r="E408" i="4"/>
  <c r="F408" i="4" s="1"/>
  <c r="E424" i="4"/>
  <c r="F424" i="4" s="1"/>
  <c r="E440" i="4"/>
  <c r="F440" i="4" s="1"/>
  <c r="E456" i="4"/>
  <c r="F456" i="4" s="1"/>
  <c r="E472" i="4"/>
  <c r="F472" i="4" s="1"/>
  <c r="E488" i="4"/>
  <c r="F488" i="4" s="1"/>
  <c r="E45" i="4"/>
  <c r="F45" i="4" s="1"/>
  <c r="E515" i="4"/>
  <c r="F515" i="4" s="1"/>
  <c r="E531" i="4"/>
  <c r="F531" i="4" s="1"/>
  <c r="E547" i="4"/>
  <c r="F547" i="4" s="1"/>
  <c r="E562" i="4"/>
  <c r="F562" i="4" s="1"/>
  <c r="E317" i="4"/>
  <c r="F317" i="4" s="1"/>
  <c r="E136" i="4"/>
  <c r="F136" i="4" s="1"/>
  <c r="E176" i="4"/>
  <c r="F176" i="4" s="1"/>
  <c r="E168" i="4"/>
  <c r="F168" i="4" s="1"/>
  <c r="E160" i="4"/>
  <c r="F160" i="4" s="1"/>
  <c r="E128" i="4"/>
  <c r="F128" i="4" s="1"/>
  <c r="E120" i="4"/>
  <c r="F120" i="4" s="1"/>
  <c r="E3" i="4"/>
  <c r="F3" i="4" s="1"/>
  <c r="E19" i="4"/>
  <c r="F19" i="4" s="1"/>
  <c r="E23" i="4"/>
  <c r="F23" i="4" s="1"/>
  <c r="E84" i="4"/>
  <c r="F84" i="4" s="1"/>
  <c r="E65" i="4"/>
  <c r="F65" i="4" s="1"/>
  <c r="E81" i="4"/>
  <c r="F81" i="4" s="1"/>
  <c r="E223" i="4"/>
  <c r="F223" i="4" s="1"/>
  <c r="E257" i="4"/>
  <c r="F257" i="4" s="1"/>
  <c r="E309" i="4"/>
  <c r="F309" i="4" s="1"/>
  <c r="E289" i="4"/>
  <c r="F289" i="4" s="1"/>
  <c r="E305" i="4"/>
  <c r="F305" i="4" s="1"/>
  <c r="E240" i="4"/>
  <c r="F240" i="4" s="1"/>
  <c r="E211" i="4"/>
  <c r="F211" i="4" s="1"/>
  <c r="E329" i="4"/>
  <c r="F329" i="4" s="1"/>
  <c r="E345" i="4"/>
  <c r="F345" i="4" s="1"/>
  <c r="E361" i="4"/>
  <c r="F361" i="4" s="1"/>
  <c r="E377" i="4"/>
  <c r="F377" i="4" s="1"/>
  <c r="E393" i="4"/>
  <c r="F393" i="4" s="1"/>
  <c r="E409" i="4"/>
  <c r="F409" i="4" s="1"/>
  <c r="E425" i="4"/>
  <c r="F425" i="4" s="1"/>
  <c r="E441" i="4"/>
  <c r="F441" i="4" s="1"/>
  <c r="E457" i="4"/>
  <c r="F457" i="4" s="1"/>
  <c r="E473" i="4"/>
  <c r="F473" i="4" s="1"/>
  <c r="E489" i="4"/>
  <c r="F489" i="4" s="1"/>
  <c r="E44" i="4"/>
  <c r="F44" i="4" s="1"/>
  <c r="E516" i="4"/>
  <c r="F516" i="4" s="1"/>
  <c r="E532" i="4"/>
  <c r="F532" i="4" s="1"/>
  <c r="E548" i="4"/>
  <c r="F548" i="4" s="1"/>
  <c r="E563" i="4"/>
  <c r="F563" i="4" s="1"/>
  <c r="E318" i="4"/>
  <c r="F318" i="4" s="1"/>
  <c r="E137" i="4"/>
  <c r="F137" i="4" s="1"/>
  <c r="E177" i="4"/>
  <c r="F177" i="4" s="1"/>
  <c r="E169" i="4"/>
  <c r="F169" i="4" s="1"/>
  <c r="E161" i="4"/>
  <c r="F161" i="4" s="1"/>
  <c r="E129" i="4"/>
  <c r="F129" i="4" s="1"/>
  <c r="E121" i="4"/>
  <c r="F121" i="4" s="1"/>
  <c r="E4" i="4"/>
  <c r="F4" i="4" s="1"/>
  <c r="E8" i="4"/>
  <c r="F8" i="4" s="1"/>
  <c r="E24" i="4"/>
  <c r="F24" i="4" s="1"/>
  <c r="E85" i="4"/>
  <c r="F85" i="4" s="1"/>
  <c r="E66" i="4"/>
  <c r="F66" i="4" s="1"/>
  <c r="E82" i="4"/>
  <c r="F82" i="4" s="1"/>
  <c r="E224" i="4"/>
  <c r="F224" i="4" s="1"/>
  <c r="E258" i="4"/>
  <c r="F258" i="4" s="1"/>
  <c r="E310" i="4"/>
  <c r="F310" i="4" s="1"/>
  <c r="E290" i="4"/>
  <c r="F290" i="4" s="1"/>
  <c r="E306" i="4"/>
  <c r="F306" i="4" s="1"/>
  <c r="E241" i="4"/>
  <c r="F241" i="4" s="1"/>
  <c r="E212" i="4"/>
  <c r="F212" i="4" s="1"/>
  <c r="E330" i="4"/>
  <c r="F330" i="4" s="1"/>
  <c r="E346" i="4"/>
  <c r="F346" i="4" s="1"/>
  <c r="E362" i="4"/>
  <c r="F362" i="4" s="1"/>
  <c r="E378" i="4"/>
  <c r="F378" i="4" s="1"/>
  <c r="E394" i="4"/>
  <c r="F394" i="4" s="1"/>
  <c r="E410" i="4"/>
  <c r="F410" i="4" s="1"/>
  <c r="E426" i="4"/>
  <c r="F426" i="4" s="1"/>
  <c r="E442" i="4"/>
  <c r="F442" i="4" s="1"/>
  <c r="E458" i="4"/>
  <c r="F458" i="4" s="1"/>
  <c r="E474" i="4"/>
  <c r="F474" i="4" s="1"/>
  <c r="E490" i="4"/>
  <c r="F490" i="4" s="1"/>
  <c r="E501" i="4"/>
  <c r="F501" i="4" s="1"/>
  <c r="E517" i="4"/>
  <c r="F517" i="4" s="1"/>
  <c r="E533" i="4"/>
  <c r="F533" i="4" s="1"/>
  <c r="E549" i="4"/>
  <c r="F549" i="4" s="1"/>
  <c r="E564" i="4"/>
  <c r="F564" i="4" s="1"/>
  <c r="E220" i="4"/>
  <c r="F220" i="4" s="1"/>
  <c r="E138" i="4"/>
  <c r="F138" i="4" s="1"/>
  <c r="E178" i="4"/>
  <c r="F178" i="4" s="1"/>
  <c r="E170" i="4"/>
  <c r="F170" i="4" s="1"/>
  <c r="E162" i="4"/>
  <c r="F162" i="4" s="1"/>
  <c r="E130" i="4"/>
  <c r="F130" i="4" s="1"/>
  <c r="E122" i="4"/>
  <c r="F122" i="4" s="1"/>
  <c r="E5" i="4"/>
  <c r="F5" i="4" s="1"/>
  <c r="E9" i="4"/>
  <c r="F9" i="4" s="1"/>
  <c r="E25" i="4"/>
  <c r="F25" i="4" s="1"/>
  <c r="E86" i="4"/>
  <c r="F86" i="4" s="1"/>
  <c r="E67" i="4"/>
  <c r="F67" i="4" s="1"/>
  <c r="E83" i="4"/>
  <c r="F83" i="4" s="1"/>
  <c r="E225" i="4"/>
  <c r="F225" i="4" s="1"/>
  <c r="E259" i="4"/>
  <c r="F259" i="4" s="1"/>
  <c r="E311" i="4"/>
  <c r="F311" i="4" s="1"/>
  <c r="E291" i="4"/>
  <c r="F291" i="4" s="1"/>
  <c r="E262" i="4"/>
  <c r="F262" i="4" s="1"/>
  <c r="E242" i="4"/>
  <c r="F242" i="4" s="1"/>
  <c r="E213" i="4"/>
  <c r="F213" i="4" s="1"/>
  <c r="E331" i="4"/>
  <c r="F331" i="4" s="1"/>
  <c r="E347" i="4"/>
  <c r="F347" i="4" s="1"/>
  <c r="E363" i="4"/>
  <c r="F363" i="4" s="1"/>
  <c r="E395" i="4"/>
  <c r="F395" i="4" s="1"/>
  <c r="E411" i="4"/>
  <c r="F411" i="4" s="1"/>
  <c r="E427" i="4"/>
  <c r="F427" i="4" s="1"/>
  <c r="E443" i="4"/>
  <c r="F443" i="4" s="1"/>
  <c r="E459" i="4"/>
  <c r="F459" i="4" s="1"/>
  <c r="E475" i="4"/>
  <c r="F475" i="4" s="1"/>
  <c r="E491" i="4"/>
  <c r="F491" i="4" s="1"/>
  <c r="E502" i="4"/>
  <c r="F502" i="4" s="1"/>
  <c r="E534" i="4"/>
  <c r="F534" i="4" s="1"/>
  <c r="E550" i="4"/>
  <c r="F550" i="4" s="1"/>
  <c r="E565" i="4"/>
  <c r="F565" i="4" s="1"/>
  <c r="E316" i="4"/>
  <c r="F316" i="4" s="1"/>
  <c r="E163" i="4"/>
  <c r="F163" i="4" s="1"/>
  <c r="E131" i="4"/>
  <c r="F131" i="4" s="1"/>
  <c r="E123" i="4"/>
  <c r="F123" i="4" s="1"/>
  <c r="E6" i="4"/>
  <c r="F6" i="4" s="1"/>
  <c r="E10" i="4"/>
  <c r="F10" i="4" s="1"/>
  <c r="E32" i="4"/>
  <c r="F32" i="4" s="1"/>
  <c r="E87" i="4"/>
  <c r="F87" i="4" s="1"/>
  <c r="E68" i="4"/>
  <c r="F68" i="4" s="1"/>
  <c r="E91" i="4"/>
  <c r="F91" i="4" s="1"/>
  <c r="E280" i="4"/>
  <c r="F280" i="4" s="1"/>
  <c r="E260" i="4"/>
  <c r="F260" i="4" s="1"/>
  <c r="E312" i="4"/>
  <c r="F312" i="4" s="1"/>
  <c r="E292" i="4"/>
  <c r="F292" i="4" s="1"/>
  <c r="E263" i="4"/>
  <c r="F263" i="4" s="1"/>
  <c r="E243" i="4"/>
  <c r="F243" i="4" s="1"/>
  <c r="E214" i="4"/>
  <c r="F214" i="4" s="1"/>
  <c r="E332" i="4"/>
  <c r="F332" i="4" s="1"/>
  <c r="E348" i="4"/>
  <c r="F348" i="4" s="1"/>
  <c r="E364" i="4"/>
  <c r="F364" i="4" s="1"/>
  <c r="E380" i="4"/>
  <c r="F380" i="4" s="1"/>
  <c r="E396" i="4"/>
  <c r="F396" i="4" s="1"/>
  <c r="E412" i="4"/>
  <c r="F412" i="4" s="1"/>
  <c r="E428" i="4"/>
  <c r="F428" i="4" s="1"/>
  <c r="E444" i="4"/>
  <c r="F444" i="4" s="1"/>
  <c r="E460" i="4"/>
  <c r="F460" i="4" s="1"/>
  <c r="E476" i="4"/>
  <c r="F476" i="4" s="1"/>
  <c r="E492" i="4"/>
  <c r="F492" i="4" s="1"/>
  <c r="E503" i="4"/>
  <c r="F503" i="4" s="1"/>
  <c r="E519" i="4"/>
  <c r="F519" i="4" s="1"/>
  <c r="E535" i="4"/>
  <c r="F535" i="4" s="1"/>
  <c r="E551" i="4"/>
  <c r="F551" i="4" s="1"/>
  <c r="E566" i="4"/>
  <c r="F566" i="4" s="1"/>
  <c r="E179" i="4"/>
  <c r="F179" i="4" s="1"/>
  <c r="E321" i="4"/>
  <c r="F321" i="4" s="1"/>
  <c r="E140" i="4"/>
  <c r="F140" i="4" s="1"/>
  <c r="E180" i="4"/>
  <c r="F180" i="4" s="1"/>
  <c r="E172" i="4"/>
  <c r="F172" i="4" s="1"/>
  <c r="E164" i="4"/>
  <c r="F164" i="4" s="1"/>
  <c r="E132" i="4"/>
  <c r="F132" i="4" s="1"/>
  <c r="E124" i="4"/>
  <c r="F124" i="4" s="1"/>
  <c r="E7" i="4"/>
  <c r="F7" i="4" s="1"/>
  <c r="E11" i="4"/>
  <c r="F11" i="4" s="1"/>
  <c r="E33" i="4"/>
  <c r="F33" i="4" s="1"/>
  <c r="E88" i="4"/>
  <c r="F88" i="4" s="1"/>
  <c r="E69" i="4"/>
  <c r="F69" i="4" s="1"/>
  <c r="E92" i="4"/>
  <c r="F92" i="4" s="1"/>
  <c r="E281" i="4"/>
  <c r="F281" i="4" s="1"/>
  <c r="E261" i="4"/>
  <c r="F261" i="4" s="1"/>
  <c r="E313" i="4"/>
  <c r="F313" i="4" s="1"/>
  <c r="E293" i="4"/>
  <c r="F293" i="4" s="1"/>
  <c r="E264" i="4"/>
  <c r="F264" i="4" s="1"/>
  <c r="E215" i="4"/>
  <c r="F215" i="4" s="1"/>
  <c r="E333" i="4"/>
  <c r="F333" i="4" s="1"/>
  <c r="E349" i="4"/>
  <c r="F349" i="4" s="1"/>
  <c r="E365" i="4"/>
  <c r="F365" i="4" s="1"/>
  <c r="E381" i="4"/>
  <c r="F381" i="4" s="1"/>
  <c r="E397" i="4"/>
  <c r="F397" i="4" s="1"/>
  <c r="E413" i="4"/>
  <c r="F413" i="4" s="1"/>
  <c r="E445" i="4"/>
  <c r="F445" i="4" s="1"/>
  <c r="E461" i="4"/>
  <c r="F461" i="4" s="1"/>
  <c r="E477" i="4"/>
  <c r="F477" i="4" s="1"/>
  <c r="E493" i="4"/>
  <c r="F493" i="4" s="1"/>
  <c r="E504" i="4"/>
  <c r="F504" i="4" s="1"/>
  <c r="E520" i="4"/>
  <c r="F520" i="4" s="1"/>
  <c r="E536" i="4"/>
  <c r="F536" i="4" s="1"/>
  <c r="E552" i="4"/>
  <c r="F552" i="4" s="1"/>
  <c r="E567" i="4"/>
  <c r="F567" i="4" s="1"/>
  <c r="E322" i="4"/>
  <c r="F322" i="4" s="1"/>
  <c r="E141" i="4"/>
  <c r="F141" i="4" s="1"/>
  <c r="E181" i="4"/>
  <c r="F181" i="4" s="1"/>
  <c r="E173" i="4"/>
  <c r="F173" i="4" s="1"/>
  <c r="E165" i="4"/>
  <c r="F165" i="4" s="1"/>
  <c r="E133" i="4"/>
  <c r="F133" i="4" s="1"/>
  <c r="E125" i="4"/>
  <c r="F125" i="4" s="1"/>
  <c r="E26" i="4"/>
  <c r="F26" i="4" s="1"/>
  <c r="E12" i="4"/>
  <c r="F12" i="4" s="1"/>
  <c r="E34" i="4"/>
  <c r="F34" i="4" s="1"/>
  <c r="E89" i="4"/>
  <c r="F89" i="4" s="1"/>
  <c r="E98" i="4"/>
  <c r="F98" i="4" s="1"/>
  <c r="E93" i="4"/>
  <c r="F93" i="4" s="1"/>
  <c r="E282" i="4"/>
  <c r="F282" i="4" s="1"/>
  <c r="E226" i="4"/>
  <c r="F226" i="4" s="1"/>
  <c r="E314" i="4"/>
  <c r="F314" i="4" s="1"/>
  <c r="E294" i="4"/>
  <c r="F294" i="4" s="1"/>
  <c r="E265" i="4"/>
  <c r="F265" i="4" s="1"/>
  <c r="E245" i="4"/>
  <c r="F245" i="4" s="1"/>
  <c r="E216" i="4"/>
  <c r="F216" i="4" s="1"/>
  <c r="E334" i="4"/>
  <c r="F334" i="4" s="1"/>
  <c r="E366" i="4"/>
  <c r="F366" i="4" s="1"/>
  <c r="E382" i="4"/>
  <c r="F382" i="4" s="1"/>
  <c r="E398" i="4"/>
  <c r="F398" i="4" s="1"/>
  <c r="E414" i="4"/>
  <c r="F414" i="4" s="1"/>
  <c r="E430" i="4"/>
  <c r="F430" i="4" s="1"/>
  <c r="E446" i="4"/>
  <c r="F446" i="4" s="1"/>
  <c r="E462" i="4"/>
  <c r="F462" i="4" s="1"/>
  <c r="E478" i="4"/>
  <c r="F478" i="4" s="1"/>
  <c r="E494" i="4"/>
  <c r="F494" i="4" s="1"/>
  <c r="E505" i="4"/>
  <c r="F505" i="4" s="1"/>
  <c r="E521" i="4"/>
  <c r="F521" i="4" s="1"/>
  <c r="E537" i="4"/>
  <c r="F537" i="4" s="1"/>
  <c r="E553" i="4"/>
  <c r="F553" i="4" s="1"/>
  <c r="E568" i="4"/>
  <c r="F568" i="4" s="1"/>
  <c r="E158" i="4"/>
  <c r="F158" i="4" s="1"/>
  <c r="E323" i="4"/>
  <c r="F323" i="4" s="1"/>
  <c r="E182" i="4"/>
  <c r="F182" i="4" s="1"/>
  <c r="E134" i="4"/>
  <c r="F134" i="4" s="1"/>
  <c r="E126" i="4"/>
  <c r="F126" i="4" s="1"/>
  <c r="E27" i="4"/>
  <c r="F27" i="4" s="1"/>
  <c r="E13" i="4"/>
  <c r="F13" i="4" s="1"/>
  <c r="E35" i="4"/>
  <c r="F35" i="4" s="1"/>
  <c r="E90" i="4"/>
  <c r="F90" i="4" s="1"/>
  <c r="E99" i="4"/>
  <c r="F99" i="4" s="1"/>
  <c r="E94" i="4"/>
  <c r="F94" i="4" s="1"/>
  <c r="E283" i="4"/>
  <c r="F283" i="4" s="1"/>
  <c r="E227" i="4"/>
  <c r="F227" i="4" s="1"/>
  <c r="E315" i="4"/>
  <c r="F315" i="4" s="1"/>
  <c r="E295" i="4"/>
  <c r="F295" i="4" s="1"/>
  <c r="E266" i="4"/>
  <c r="F266" i="4" s="1"/>
  <c r="E50" i="4"/>
  <c r="F50" i="4" s="1"/>
  <c r="E335" i="4"/>
  <c r="F335" i="4" s="1"/>
  <c r="E351" i="4"/>
  <c r="F351" i="4" s="1"/>
  <c r="E367" i="4"/>
  <c r="F367" i="4" s="1"/>
  <c r="E383" i="4"/>
  <c r="F383" i="4" s="1"/>
  <c r="E399" i="4"/>
  <c r="F399" i="4" s="1"/>
  <c r="E415" i="4"/>
  <c r="F415" i="4" s="1"/>
  <c r="E431" i="4"/>
  <c r="F431" i="4" s="1"/>
  <c r="E447" i="4"/>
  <c r="F447" i="4" s="1"/>
  <c r="E479" i="4"/>
  <c r="F479" i="4" s="1"/>
  <c r="E495" i="4"/>
  <c r="F495" i="4" s="1"/>
  <c r="E506" i="4"/>
  <c r="F506" i="4" s="1"/>
  <c r="E522" i="4"/>
  <c r="F522" i="4" s="1"/>
  <c r="E569" i="4"/>
  <c r="F569" i="4" s="1"/>
  <c r="E159" i="4"/>
  <c r="F159" i="4" s="1"/>
  <c r="E319" i="4"/>
  <c r="F319" i="4" s="1"/>
  <c r="E143" i="4"/>
  <c r="F143" i="4" s="1"/>
  <c r="E183" i="4"/>
  <c r="F183" i="4" s="1"/>
  <c r="E175" i="4"/>
  <c r="F175" i="4" s="1"/>
  <c r="E167" i="4"/>
  <c r="F167" i="4" s="1"/>
  <c r="E135" i="4"/>
  <c r="F135" i="4" s="1"/>
  <c r="E28" i="4"/>
  <c r="F28" i="4" s="1"/>
  <c r="E36" i="4"/>
  <c r="F36" i="4" s="1"/>
  <c r="E100" i="4"/>
  <c r="F100" i="4" s="1"/>
  <c r="E95" i="4"/>
  <c r="F95" i="4" s="1"/>
  <c r="E284" i="4"/>
  <c r="F284" i="4" s="1"/>
  <c r="E228" i="4"/>
  <c r="F228" i="4" s="1"/>
  <c r="E296" i="4"/>
  <c r="F296" i="4" s="1"/>
  <c r="E267" i="4"/>
  <c r="F267" i="4" s="1"/>
  <c r="E247" i="4"/>
  <c r="F247" i="4" s="1"/>
  <c r="E51" i="4"/>
  <c r="F51" i="4" s="1"/>
  <c r="E336" i="4"/>
  <c r="F336" i="4" s="1"/>
  <c r="E368" i="4"/>
  <c r="F368" i="4" s="1"/>
  <c r="E384" i="4"/>
  <c r="F384" i="4" s="1"/>
  <c r="E400" i="4"/>
  <c r="F400" i="4" s="1"/>
  <c r="E416" i="4"/>
  <c r="F416" i="4" s="1"/>
  <c r="E432" i="4"/>
  <c r="F432" i="4" s="1"/>
  <c r="E448" i="4"/>
  <c r="F448" i="4" s="1"/>
  <c r="E464" i="4"/>
  <c r="F464" i="4" s="1"/>
  <c r="E480" i="4"/>
  <c r="F480" i="4" s="1"/>
  <c r="E496" i="4"/>
  <c r="F496" i="4" s="1"/>
  <c r="E507" i="4"/>
  <c r="F507" i="4" s="1"/>
  <c r="E523" i="4"/>
  <c r="F523" i="4" s="1"/>
  <c r="E539" i="4"/>
  <c r="F539" i="4" s="1"/>
  <c r="E555" i="4"/>
  <c r="F555" i="4" s="1"/>
  <c r="E152" i="4"/>
  <c r="F152" i="4" s="1"/>
  <c r="E200" i="4"/>
  <c r="F200" i="4" s="1"/>
  <c r="E192" i="4"/>
  <c r="F192" i="4" s="1"/>
  <c r="E184" i="4"/>
  <c r="F184" i="4" s="1"/>
  <c r="E112" i="4"/>
  <c r="F112" i="4" s="1"/>
  <c r="E105" i="4"/>
  <c r="F105" i="4" s="1"/>
  <c r="E29" i="4"/>
  <c r="F29" i="4" s="1"/>
  <c r="E39" i="4"/>
  <c r="F39" i="4" s="1"/>
  <c r="E37" i="4"/>
  <c r="F37" i="4" s="1"/>
  <c r="E71" i="4"/>
  <c r="F71" i="4" s="1"/>
  <c r="E101" i="4"/>
  <c r="F101" i="4" s="1"/>
  <c r="E96" i="4"/>
  <c r="F96" i="4" s="1"/>
  <c r="E285" i="4"/>
  <c r="F285" i="4" s="1"/>
  <c r="E229" i="4"/>
  <c r="F229" i="4" s="1"/>
  <c r="E272" i="4"/>
  <c r="F272" i="4" s="1"/>
  <c r="E297" i="4"/>
  <c r="F297" i="4" s="1"/>
  <c r="E268" i="4"/>
  <c r="F268" i="4" s="1"/>
  <c r="E248" i="4"/>
  <c r="F248" i="4" s="1"/>
  <c r="E52" i="4"/>
  <c r="F52" i="4" s="1"/>
  <c r="E337" i="4"/>
  <c r="F337" i="4" s="1"/>
  <c r="E353" i="4"/>
  <c r="F353" i="4" s="1"/>
  <c r="E369" i="4"/>
  <c r="F369" i="4" s="1"/>
  <c r="E385" i="4"/>
  <c r="F385" i="4" s="1"/>
  <c r="E401" i="4"/>
  <c r="F401" i="4" s="1"/>
  <c r="E417" i="4"/>
  <c r="F417" i="4" s="1"/>
  <c r="E433" i="4"/>
  <c r="F433" i="4" s="1"/>
  <c r="E449" i="4"/>
  <c r="F449" i="4" s="1"/>
  <c r="E481" i="4"/>
  <c r="F481" i="4" s="1"/>
  <c r="E497" i="4"/>
  <c r="F497" i="4" s="1"/>
  <c r="E508" i="4"/>
  <c r="F508" i="4" s="1"/>
  <c r="E540" i="4"/>
  <c r="F540" i="4" s="1"/>
  <c r="E571" i="4"/>
  <c r="F571" i="4" s="1"/>
  <c r="E153" i="4"/>
  <c r="F153" i="4" s="1"/>
  <c r="E201" i="4"/>
  <c r="F201" i="4" s="1"/>
  <c r="E193" i="4"/>
  <c r="F193" i="4" s="1"/>
  <c r="E185" i="4"/>
  <c r="F185" i="4" s="1"/>
  <c r="E113" i="4"/>
  <c r="F113" i="4" s="1"/>
  <c r="E145" i="4"/>
  <c r="F145" i="4" s="1"/>
  <c r="E106" i="4"/>
  <c r="F106" i="4" s="1"/>
  <c r="E30" i="4"/>
  <c r="F30" i="4" s="1"/>
  <c r="E102" i="4"/>
  <c r="F102" i="4" s="1"/>
  <c r="E97" i="4"/>
  <c r="F97" i="4" s="1"/>
  <c r="E230" i="4"/>
  <c r="F230" i="4" s="1"/>
  <c r="E338" i="4"/>
  <c r="F338" i="4" s="1"/>
  <c r="E386" i="4"/>
  <c r="F386" i="4" s="1"/>
  <c r="E402" i="4"/>
  <c r="F402" i="4" s="1"/>
  <c r="E418" i="4"/>
  <c r="F418" i="4" s="1"/>
  <c r="E434" i="4"/>
  <c r="F434" i="4" s="1"/>
  <c r="E450" i="4"/>
  <c r="F450" i="4" s="1"/>
  <c r="F16" i="1"/>
  <c r="C20" i="1" s="1"/>
  <c r="F20" i="1" s="1"/>
  <c r="C19" i="1" l="1"/>
  <c r="F19" i="1" s="1"/>
  <c r="C21" i="1"/>
  <c r="D21" i="1" s="1"/>
  <c r="D20" i="1"/>
  <c r="D19" i="1" l="1"/>
  <c r="F21" i="1"/>
</calcChain>
</file>

<file path=xl/sharedStrings.xml><?xml version="1.0" encoding="utf-8"?>
<sst xmlns="http://schemas.openxmlformats.org/spreadsheetml/2006/main" count="1993" uniqueCount="165">
  <si>
    <t>管道 A (零售)</t>
  </si>
  <si>
    <t>管道 B (大盤)</t>
  </si>
  <si>
    <t>物資需求清單 (HUD)</t>
  </si>
  <si>
    <t>1 TWD =</t>
  </si>
  <si>
    <t>遊戲幣</t>
  </si>
  <si>
    <t>總價</t>
  </si>
  <si>
    <t>TWD</t>
  </si>
  <si>
    <t>最佳匯率：</t>
  </si>
  <si>
    <t>戰略配置 (Configuration)</t>
  </si>
  <si>
    <t>⚠️ 更新價格</t>
  </si>
  <si>
    <t>1. 採購策略</t>
  </si>
  <si>
    <t>2. 陣營選擇</t>
  </si>
  <si>
    <t>3. 裝備系列</t>
  </si>
  <si>
    <t>應龍王系列</t>
  </si>
  <si>
    <t>4. 目標部位</t>
  </si>
  <si>
    <t>5. 製作數量</t>
  </si>
  <si>
    <t>(戒指/耳環請填 2)</t>
  </si>
  <si>
    <t>【核心決策矩陣】</t>
  </si>
  <si>
    <t>拍賣場單價：</t>
  </si>
  <si>
    <t>自造總成本 (Net)：</t>
  </si>
  <si>
    <t>交易渠道</t>
  </si>
  <si>
    <t>耗損</t>
  </si>
  <si>
    <t>自造含稅 (Gross)</t>
  </si>
  <si>
    <t>自造 TWD</t>
  </si>
  <si>
    <t>直購 TWD (總價)</t>
  </si>
  <si>
    <t>戰術建議</t>
  </si>
  <si>
    <t>材料名稱</t>
  </si>
  <si>
    <t>目前市價</t>
  </si>
  <si>
    <t>低價(0.8)</t>
  </si>
  <si>
    <t>高價(1.2)</t>
  </si>
  <si>
    <t>備註</t>
  </si>
  <si>
    <t>Faction_List</t>
  </si>
  <si>
    <t>Series_天族</t>
  </si>
  <si>
    <t>Series_魔族</t>
  </si>
  <si>
    <t>鳴龍王系列</t>
  </si>
  <si>
    <t>白龍王系列</t>
  </si>
  <si>
    <t>真龍王系列</t>
  </si>
  <si>
    <t>其他天族系列</t>
  </si>
  <si>
    <t>夔龍王系列</t>
  </si>
  <si>
    <t>暗龍王系列</t>
  </si>
  <si>
    <t>黑龍王系列</t>
  </si>
  <si>
    <t>乾龍王系列</t>
  </si>
  <si>
    <t>強化的堅固龍族鱗片</t>
  </si>
  <si>
    <t>長劍</t>
  </si>
  <si>
    <t>強化的強固龍族鱗片</t>
  </si>
  <si>
    <t>魔族</t>
  </si>
  <si>
    <t>巨劍</t>
  </si>
  <si>
    <t>憤怒思念</t>
  </si>
  <si>
    <t>短劍</t>
  </si>
  <si>
    <t>憤怒意志</t>
  </si>
  <si>
    <t>弓</t>
  </si>
  <si>
    <t>憤怒自我</t>
  </si>
  <si>
    <t>法書</t>
  </si>
  <si>
    <t>提煉的堅固龍族角</t>
  </si>
  <si>
    <t>法珠</t>
  </si>
  <si>
    <t>燦爛的奧德</t>
  </si>
  <si>
    <t>釘錘</t>
  </si>
  <si>
    <t>燦爛的奧里哈康礦石</t>
  </si>
  <si>
    <t>法杖</t>
  </si>
  <si>
    <t>燦爛的紅寶石原石</t>
  </si>
  <si>
    <t>臂甲</t>
  </si>
  <si>
    <t>燦爛的菩提木頭</t>
  </si>
  <si>
    <t>頭盔</t>
  </si>
  <si>
    <t>燦爛的藍寶石原石</t>
  </si>
  <si>
    <t>肩甲</t>
  </si>
  <si>
    <t>燦爛的鑽石原石</t>
  </si>
  <si>
    <t>發狂的憤怒巫蠱</t>
  </si>
  <si>
    <t>達人最上級提煉石</t>
  </si>
  <si>
    <t>手套</t>
  </si>
  <si>
    <t>達人閃耀的奧里哈康手套</t>
  </si>
  <si>
    <t>鞋子</t>
  </si>
  <si>
    <t>達人閃耀的奧里哈康披風</t>
  </si>
  <si>
    <t>披風</t>
  </si>
  <si>
    <t>達人閃耀的奧里哈康肩甲</t>
  </si>
  <si>
    <t>項鍊</t>
  </si>
  <si>
    <t>達人閃耀的奧里哈康胸甲</t>
  </si>
  <si>
    <t>耳環</t>
  </si>
  <si>
    <t>達人閃耀的奧里哈康腿甲</t>
  </si>
  <si>
    <t>戒指</t>
  </si>
  <si>
    <t>達人閃耀的奧里哈康臂甲</t>
  </si>
  <si>
    <t>達人閃耀的奧里哈康長靴</t>
  </si>
  <si>
    <t>達人閃耀的奧里哈康頭盔</t>
  </si>
  <si>
    <t>達人閃耀的紅寶石項鍊</t>
  </si>
  <si>
    <t>達人閃耀的菩提弓</t>
  </si>
  <si>
    <t>達人閃耀的藍寶石戒指</t>
  </si>
  <si>
    <t>達人閃耀的鑽石耳環</t>
  </si>
  <si>
    <t>鞣製的堅固龍族皮革</t>
  </si>
  <si>
    <t>系列</t>
  </si>
  <si>
    <t>部位</t>
  </si>
  <si>
    <t>需求數量</t>
  </si>
  <si>
    <t>單價</t>
  </si>
  <si>
    <t>魔族</t>
    <phoneticPr fontId="12" type="noConversion"/>
  </si>
  <si>
    <t>天族</t>
    <phoneticPr fontId="12" type="noConversion"/>
  </si>
  <si>
    <t>乾龍王系列</t>
    <phoneticPr fontId="12" type="noConversion"/>
  </si>
  <si>
    <t>強化的厚實龍族鱗片</t>
    <phoneticPr fontId="12" type="noConversion"/>
  </si>
  <si>
    <t>強化的強固龍族鱗片</t>
    <phoneticPr fontId="12" type="noConversion"/>
  </si>
  <si>
    <t>強化的堅硬龍族鱗片</t>
    <phoneticPr fontId="12" type="noConversion"/>
  </si>
  <si>
    <t>達人閃耀的菩提法杖</t>
    <phoneticPr fontId="12" type="noConversion"/>
  </si>
  <si>
    <t>鞣製的厚實龍族皮革</t>
    <phoneticPr fontId="12" type="noConversion"/>
  </si>
  <si>
    <t>鞣製的堅硬龍族皮革</t>
    <phoneticPr fontId="12" type="noConversion"/>
  </si>
  <si>
    <t>鞣製的強固龍族皮革</t>
    <phoneticPr fontId="12" type="noConversion"/>
  </si>
  <si>
    <t>達人閃耀的真實魔法書</t>
    <phoneticPr fontId="12" type="noConversion"/>
  </si>
  <si>
    <t>達人閃耀的真實法珠</t>
    <phoneticPr fontId="12" type="noConversion"/>
  </si>
  <si>
    <t>頭盔</t>
    <phoneticPr fontId="12" type="noConversion"/>
  </si>
  <si>
    <t>達人閃耀的奧里哈康頭盔</t>
    <phoneticPr fontId="12" type="noConversion"/>
  </si>
  <si>
    <t>達人最上級提煉石</t>
    <phoneticPr fontId="12" type="noConversion"/>
  </si>
  <si>
    <t>憤怒思念</t>
    <phoneticPr fontId="12" type="noConversion"/>
  </si>
  <si>
    <t>燦爛的奧里哈康礦石</t>
    <phoneticPr fontId="12" type="noConversion"/>
  </si>
  <si>
    <t>燦爛的奧德</t>
    <phoneticPr fontId="12" type="noConversion"/>
  </si>
  <si>
    <t>肩甲</t>
    <phoneticPr fontId="12" type="noConversion"/>
  </si>
  <si>
    <t>達人閃耀的奧里哈康肩甲</t>
    <phoneticPr fontId="12" type="noConversion"/>
  </si>
  <si>
    <t>胸甲</t>
    <phoneticPr fontId="12" type="noConversion"/>
  </si>
  <si>
    <t>腿甲</t>
    <phoneticPr fontId="12" type="noConversion"/>
  </si>
  <si>
    <t>手套</t>
    <phoneticPr fontId="12" type="noConversion"/>
  </si>
  <si>
    <t>長靴</t>
    <phoneticPr fontId="12" type="noConversion"/>
  </si>
  <si>
    <t>披風</t>
    <phoneticPr fontId="12" type="noConversion"/>
  </si>
  <si>
    <t>達人閃耀的奧里哈康胸甲</t>
    <phoneticPr fontId="12" type="noConversion"/>
  </si>
  <si>
    <t>達人閃耀的奧里哈康腿甲</t>
    <phoneticPr fontId="12" type="noConversion"/>
  </si>
  <si>
    <t>達人閃耀的奧里哈康手套</t>
    <phoneticPr fontId="12" type="noConversion"/>
  </si>
  <si>
    <t>達人閃耀的奧里哈康長靴</t>
    <phoneticPr fontId="12" type="noConversion"/>
  </si>
  <si>
    <t>達人閃耀的奧里哈康披風</t>
    <phoneticPr fontId="12" type="noConversion"/>
  </si>
  <si>
    <t>黑龍王系列</t>
    <phoneticPr fontId="12" type="noConversion"/>
  </si>
  <si>
    <t>憤怒意志</t>
    <phoneticPr fontId="12" type="noConversion"/>
  </si>
  <si>
    <t>夔龍王系列</t>
    <phoneticPr fontId="12" type="noConversion"/>
  </si>
  <si>
    <t>憤怒自我</t>
    <phoneticPr fontId="12" type="noConversion"/>
  </si>
  <si>
    <t>發狂的憤怒巫蠱</t>
    <phoneticPr fontId="12" type="noConversion"/>
  </si>
  <si>
    <t>巨劍</t>
    <phoneticPr fontId="12" type="noConversion"/>
  </si>
  <si>
    <t>達人閃耀的奧里哈康巨劍</t>
    <phoneticPr fontId="12" type="noConversion"/>
  </si>
  <si>
    <t>提煉的強固龍族角</t>
    <phoneticPr fontId="12" type="noConversion"/>
  </si>
  <si>
    <t>達人閃耀的奧里哈康長劍</t>
    <phoneticPr fontId="12" type="noConversion"/>
  </si>
  <si>
    <t>長劍</t>
    <phoneticPr fontId="12" type="noConversion"/>
  </si>
  <si>
    <t>短劍</t>
    <phoneticPr fontId="12" type="noConversion"/>
  </si>
  <si>
    <t>達人閃耀的奧里哈康短劍</t>
    <phoneticPr fontId="12" type="noConversion"/>
  </si>
  <si>
    <t>達人閃耀的奧里哈康釘錘</t>
    <phoneticPr fontId="12" type="noConversion"/>
  </si>
  <si>
    <t>釘錘</t>
    <phoneticPr fontId="12" type="noConversion"/>
  </si>
  <si>
    <t>臂甲</t>
    <phoneticPr fontId="12" type="noConversion"/>
  </si>
  <si>
    <t>達人閃耀的奧里哈康臂甲</t>
    <phoneticPr fontId="12" type="noConversion"/>
  </si>
  <si>
    <t>提煉的堅硬龍族角</t>
    <phoneticPr fontId="12" type="noConversion"/>
  </si>
  <si>
    <t>提煉的厚實龍族角</t>
    <phoneticPr fontId="12" type="noConversion"/>
  </si>
  <si>
    <t>法杖</t>
    <phoneticPr fontId="12" type="noConversion"/>
  </si>
  <si>
    <t>達人閃耀的菩提弓</t>
    <phoneticPr fontId="12" type="noConversion"/>
  </si>
  <si>
    <t>個人交易</t>
    <phoneticPr fontId="12" type="noConversion"/>
  </si>
  <si>
    <t>跨服拍賣</t>
    <phoneticPr fontId="12" type="noConversion"/>
  </si>
  <si>
    <t>本服拍賣</t>
    <phoneticPr fontId="12" type="noConversion"/>
  </si>
  <si>
    <t>燦爛的菩提木頭</t>
    <phoneticPr fontId="12" type="noConversion"/>
  </si>
  <si>
    <t>項鍊</t>
    <phoneticPr fontId="12" type="noConversion"/>
  </si>
  <si>
    <t>達人閃耀的紅寶石項鍊</t>
    <phoneticPr fontId="12" type="noConversion"/>
  </si>
  <si>
    <t>燦爛的紅寶石原石</t>
    <phoneticPr fontId="12" type="noConversion"/>
  </si>
  <si>
    <t>耳環</t>
    <phoneticPr fontId="12" type="noConversion"/>
  </si>
  <si>
    <t>達人閃耀的鑽石耳環</t>
    <phoneticPr fontId="12" type="noConversion"/>
  </si>
  <si>
    <t>燦爛的鑽石原石</t>
    <phoneticPr fontId="12" type="noConversion"/>
  </si>
  <si>
    <t>戒指</t>
    <phoneticPr fontId="12" type="noConversion"/>
  </si>
  <si>
    <t>達人閃耀的藍寶石戒指</t>
    <phoneticPr fontId="12" type="noConversion"/>
  </si>
  <si>
    <t>燦爛的藍寶石原石</t>
    <phoneticPr fontId="12" type="noConversion"/>
  </si>
  <si>
    <t>法書</t>
    <phoneticPr fontId="12" type="noConversion"/>
  </si>
  <si>
    <t>法珠</t>
    <phoneticPr fontId="12" type="noConversion"/>
  </si>
  <si>
    <t>強化的堅固龍族鱗片</t>
    <phoneticPr fontId="12" type="noConversion"/>
  </si>
  <si>
    <t>提煉的堅固龍族角</t>
    <phoneticPr fontId="12" type="noConversion"/>
  </si>
  <si>
    <t>達人閃耀的奧里哈康法杖</t>
    <phoneticPr fontId="12" type="noConversion"/>
  </si>
  <si>
    <t>神一   製</t>
    <phoneticPr fontId="12" type="noConversion"/>
  </si>
  <si>
    <t>【浮光棲地裝備升級暨製造指揮部】</t>
    <phoneticPr fontId="12" type="noConversion"/>
  </si>
  <si>
    <t>標準</t>
  </si>
  <si>
    <t>標準</t>
    <phoneticPr fontId="12" type="noConversion"/>
  </si>
  <si>
    <t>樂觀</t>
    <phoneticPr fontId="12" type="noConversion"/>
  </si>
  <si>
    <t>悲觀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</si>
</sst>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 &quot;#,##0"/>
  </numFmts>
  <fonts count="17" x14ac:knownFonts="1">
    <font>
      <sz val="11"/>
      <color theme="1"/>
      <name val="新細明體"/>
      <family val="2"/>
      <scheme val="minor"/>
    </font>
    <font>
      <b/>
      <sz val="12"/>
      <color rgb="FFFFFFFF"/>
      <name val="Noto Sans HK"/>
    </font>
    <font>
      <sz val="11"/>
      <name val="Noto Sans HK"/>
    </font>
    <font>
      <b/>
      <sz val="11"/>
      <color rgb="FF000000"/>
      <name val="Noto Sans HK"/>
    </font>
    <font>
      <sz val="11"/>
      <color rgb="FF666666"/>
      <name val="Noto Sans HK"/>
    </font>
    <font>
      <sz val="11"/>
      <color rgb="FFFFFFFF"/>
      <name val="Noto Sans HK"/>
    </font>
    <font>
      <b/>
      <sz val="11"/>
      <color rgb="FFFF0000"/>
      <name val="Noto Sans HK"/>
    </font>
    <font>
      <b/>
      <sz val="11"/>
      <color rgb="FF0000FF"/>
      <name val="Noto Sans HK"/>
    </font>
    <font>
      <sz val="9"/>
      <color rgb="FFAAAAAA"/>
      <name val="Noto Sans HK"/>
    </font>
    <font>
      <b/>
      <sz val="11"/>
      <color rgb="FF00FF00"/>
      <name val="Noto Sans HK"/>
    </font>
    <font>
      <b/>
      <u/>
      <sz val="11"/>
      <color rgb="FFFFFF00"/>
      <name val="Noto Sans HK"/>
    </font>
    <font>
      <b/>
      <sz val="11"/>
      <color rgb="FFFFFFFF"/>
      <name val="Noto Sans HK"/>
    </font>
    <font>
      <sz val="9"/>
      <name val="新細明體"/>
      <family val="3"/>
      <charset val="136"/>
      <scheme val="minor"/>
    </font>
    <font>
      <sz val="11"/>
      <name val="Noto Sans HK"/>
      <family val="2"/>
      <charset val="136"/>
    </font>
    <font>
      <sz val="11"/>
      <color rgb="FFFFFFFF"/>
      <name val="Noto Sans HK"/>
      <family val="2"/>
      <charset val="136"/>
    </font>
    <font>
      <i/>
      <sz val="11"/>
      <color rgb="FFAAAAAA"/>
      <name val="Noto Sans HK"/>
      <family val="2"/>
      <charset val="136"/>
    </font>
    <font>
      <b/>
      <sz val="18"/>
      <color rgb="FFFFD700"/>
      <name val="Noto Sans HK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E6FFCC"/>
        <bgColor rgb="FFE6FFCC"/>
      </patternFill>
    </fill>
    <fill>
      <patternFill patternType="solid">
        <fgColor rgb="FFE0E0E0"/>
        <bgColor rgb="FFE0E0E0"/>
      </patternFill>
    </fill>
    <fill>
      <patternFill patternType="solid">
        <fgColor rgb="FF1F1F1F"/>
        <bgColor rgb="FF1F1F1F"/>
      </patternFill>
    </fill>
    <fill>
      <patternFill patternType="solid">
        <fgColor rgb="FFFFFFFF"/>
        <bgColor rgb="FFFFFFFF"/>
      </patternFill>
    </fill>
    <fill>
      <patternFill patternType="solid">
        <fgColor rgb="FF330000"/>
        <bgColor rgb="FF33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5" fillId="5" borderId="0" xfId="0" applyFont="1" applyFill="1"/>
    <xf numFmtId="0" fontId="2" fillId="0" borderId="0" xfId="0" applyFont="1" applyProtection="1">
      <protection locked="0"/>
    </xf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13" fillId="0" borderId="0" xfId="0" applyFont="1" applyProtection="1">
      <protection locked="0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1" xfId="0" applyFont="1" applyBorder="1" applyProtection="1">
      <protection locked="0"/>
    </xf>
    <xf numFmtId="3" fontId="3" fillId="3" borderId="1" xfId="0" applyNumberFormat="1" applyFont="1" applyFill="1" applyBorder="1" applyProtection="1">
      <protection locked="0"/>
    </xf>
    <xf numFmtId="3" fontId="4" fillId="4" borderId="1" xfId="0" applyNumberFormat="1" applyFont="1" applyFill="1" applyBorder="1"/>
    <xf numFmtId="0" fontId="13" fillId="0" borderId="1" xfId="0" applyFont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7" fillId="6" borderId="1" xfId="0" applyFont="1" applyFill="1" applyBorder="1" applyProtection="1">
      <protection locked="0"/>
    </xf>
    <xf numFmtId="0" fontId="3" fillId="6" borderId="1" xfId="0" applyFont="1" applyFill="1" applyBorder="1" applyAlignment="1" applyProtection="1">
      <alignment horizontal="center"/>
      <protection locked="0"/>
    </xf>
    <xf numFmtId="0" fontId="16" fillId="5" borderId="2" xfId="0" applyFont="1" applyFill="1" applyBorder="1"/>
    <xf numFmtId="0" fontId="5" fillId="5" borderId="3" xfId="0" applyFont="1" applyFill="1" applyBorder="1"/>
    <xf numFmtId="0" fontId="15" fillId="5" borderId="3" xfId="0" applyFont="1" applyFill="1" applyBorder="1"/>
    <xf numFmtId="0" fontId="5" fillId="5" borderId="4" xfId="0" applyFont="1" applyFill="1" applyBorder="1"/>
    <xf numFmtId="0" fontId="5" fillId="5" borderId="5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0" fillId="0" borderId="6" xfId="0" applyBorder="1"/>
    <xf numFmtId="0" fontId="3" fillId="6" borderId="0" xfId="0" applyFont="1" applyFill="1" applyBorder="1" applyAlignment="1" applyProtection="1">
      <alignment horizontal="center"/>
      <protection locked="0"/>
    </xf>
    <xf numFmtId="0" fontId="3" fillId="6" borderId="0" xfId="0" applyFont="1" applyFill="1" applyBorder="1" applyProtection="1">
      <protection locked="0"/>
    </xf>
    <xf numFmtId="0" fontId="9" fillId="5" borderId="0" xfId="0" applyFont="1" applyFill="1" applyBorder="1" applyAlignment="1">
      <alignment horizontal="center"/>
    </xf>
    <xf numFmtId="0" fontId="6" fillId="5" borderId="0" xfId="0" applyFont="1" applyFill="1" applyBorder="1"/>
    <xf numFmtId="0" fontId="1" fillId="2" borderId="5" xfId="0" applyFont="1" applyFill="1" applyBorder="1"/>
    <xf numFmtId="0" fontId="10" fillId="5" borderId="0" xfId="0" applyFont="1" applyFill="1" applyBorder="1"/>
    <xf numFmtId="0" fontId="8" fillId="5" borderId="0" xfId="0" applyFont="1" applyFill="1" applyBorder="1"/>
    <xf numFmtId="3" fontId="3" fillId="6" borderId="0" xfId="0" applyNumberFormat="1" applyFont="1" applyFill="1" applyBorder="1" applyProtection="1">
      <protection locked="0"/>
    </xf>
    <xf numFmtId="0" fontId="14" fillId="5" borderId="5" xfId="0" applyFont="1" applyFill="1" applyBorder="1" applyAlignment="1">
      <alignment horizontal="center"/>
    </xf>
    <xf numFmtId="9" fontId="5" fillId="5" borderId="0" xfId="0" applyNumberFormat="1" applyFont="1" applyFill="1" applyBorder="1" applyAlignment="1">
      <alignment horizontal="center"/>
    </xf>
    <xf numFmtId="3" fontId="5" fillId="5" borderId="0" xfId="0" applyNumberFormat="1" applyFont="1" applyFill="1" applyBorder="1"/>
    <xf numFmtId="176" fontId="5" fillId="5" borderId="0" xfId="0" applyNumberFormat="1" applyFont="1" applyFill="1" applyBorder="1"/>
    <xf numFmtId="0" fontId="14" fillId="5" borderId="7" xfId="0" applyFont="1" applyFill="1" applyBorder="1" applyAlignment="1">
      <alignment horizontal="center"/>
    </xf>
    <xf numFmtId="9" fontId="5" fillId="5" borderId="8" xfId="0" applyNumberFormat="1" applyFont="1" applyFill="1" applyBorder="1" applyAlignment="1">
      <alignment horizontal="center"/>
    </xf>
    <xf numFmtId="3" fontId="5" fillId="5" borderId="8" xfId="0" applyNumberFormat="1" applyFont="1" applyFill="1" applyBorder="1"/>
    <xf numFmtId="176" fontId="5" fillId="5" borderId="8" xfId="0" applyNumberFormat="1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1" fillId="7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3" fontId="11" fillId="5" borderId="6" xfId="0" applyNumberFormat="1" applyFont="1" applyFill="1" applyBorder="1"/>
    <xf numFmtId="0" fontId="5" fillId="5" borderId="7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9" fillId="5" borderId="6" xfId="0" applyFont="1" applyFill="1" applyBorder="1"/>
    <xf numFmtId="0" fontId="9" fillId="5" borderId="9" xfId="0" applyFont="1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showGridLines="0" tabSelected="1" workbookViewId="0">
      <selection activeCell="I5" sqref="I5"/>
    </sheetView>
  </sheetViews>
  <sheetFormatPr defaultRowHeight="15.75" x14ac:dyDescent="0.25"/>
  <cols>
    <col min="1" max="1" width="18" customWidth="1"/>
    <col min="2" max="2" width="20" customWidth="1"/>
    <col min="3" max="3" width="18" customWidth="1"/>
    <col min="4" max="4" width="13.28515625" customWidth="1"/>
    <col min="5" max="5" width="23.5703125" customWidth="1"/>
    <col min="6" max="6" width="23.28515625" customWidth="1"/>
    <col min="16" max="25" width="9.140625" style="3"/>
    <col min="26" max="26" width="0" hidden="1" customWidth="1"/>
  </cols>
  <sheetData>
    <row r="1" spans="1:26" ht="30" x14ac:dyDescent="0.6">
      <c r="A1" s="17" t="s">
        <v>160</v>
      </c>
      <c r="B1" s="18"/>
      <c r="C1" s="18"/>
      <c r="D1" s="18"/>
      <c r="E1" s="19" t="s">
        <v>159</v>
      </c>
      <c r="F1" s="18"/>
      <c r="G1" s="18"/>
      <c r="H1" s="18"/>
      <c r="I1" s="18"/>
      <c r="J1" s="18"/>
      <c r="K1" s="2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t="s">
        <v>162</v>
      </c>
    </row>
    <row r="2" spans="1:26" ht="18" x14ac:dyDescent="0.35">
      <c r="A2" s="21"/>
      <c r="B2" s="22"/>
      <c r="C2" s="22"/>
      <c r="D2" s="22"/>
      <c r="E2" s="22"/>
      <c r="F2" s="22"/>
      <c r="G2" s="22"/>
      <c r="H2" s="22"/>
      <c r="I2" s="22"/>
      <c r="J2" s="22"/>
      <c r="K2" s="2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t="s">
        <v>163</v>
      </c>
    </row>
    <row r="3" spans="1:26" ht="21" x14ac:dyDescent="0.45">
      <c r="A3" s="25" t="s">
        <v>0</v>
      </c>
      <c r="B3" s="24"/>
      <c r="C3" s="24"/>
      <c r="D3" s="22"/>
      <c r="E3" s="25" t="s">
        <v>1</v>
      </c>
      <c r="F3" s="24"/>
      <c r="G3" s="24"/>
      <c r="H3" s="22"/>
      <c r="I3" s="26" t="s">
        <v>2</v>
      </c>
      <c r="J3" s="24"/>
      <c r="K3" s="2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t="s">
        <v>164</v>
      </c>
    </row>
    <row r="4" spans="1:26" ht="18" x14ac:dyDescent="0.35">
      <c r="A4" s="22" t="s">
        <v>3</v>
      </c>
      <c r="B4" s="28">
        <v>37000</v>
      </c>
      <c r="C4" s="22" t="s">
        <v>4</v>
      </c>
      <c r="D4" s="22"/>
      <c r="E4" s="22" t="s">
        <v>5</v>
      </c>
      <c r="F4" s="35">
        <v>10000000</v>
      </c>
      <c r="G4" s="22"/>
      <c r="H4" s="22"/>
      <c r="I4" s="22"/>
      <c r="J4" s="22"/>
      <c r="K4" s="2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6" ht="18" x14ac:dyDescent="0.35">
      <c r="A5" s="22"/>
      <c r="B5" s="22"/>
      <c r="C5" s="22"/>
      <c r="D5" s="22"/>
      <c r="E5" s="22" t="s">
        <v>6</v>
      </c>
      <c r="F5" s="29">
        <v>270</v>
      </c>
      <c r="G5" s="22"/>
      <c r="H5" s="22"/>
      <c r="I5" s="30" t="str">
        <f>HYPERLINK("#Data_Recipes!A1", "&gt;&gt;&gt; 查看配方表 &lt;&lt;&lt;")</f>
        <v>&gt;&gt;&gt; 查看配方表 &lt;&lt;&lt;</v>
      </c>
      <c r="J5" s="22"/>
      <c r="K5" s="2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18" x14ac:dyDescent="0.35">
      <c r="A6" s="22" t="s">
        <v>7</v>
      </c>
      <c r="B6" s="31" t="str">
        <f>IF((B4)&gt;(F4/F5), "管道 A (零售) 勝", "管道 B (大盤) 勝")</f>
        <v>管道 B (大盤) 勝</v>
      </c>
      <c r="C6" s="24"/>
      <c r="D6" s="24"/>
      <c r="E6" s="24"/>
      <c r="F6" s="22"/>
      <c r="G6" s="22"/>
      <c r="H6" s="22"/>
      <c r="I6" s="22"/>
      <c r="J6" s="22"/>
      <c r="K6" s="2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8" x14ac:dyDescent="0.35">
      <c r="A7" s="21"/>
      <c r="B7" s="22"/>
      <c r="C7" s="22"/>
      <c r="D7" s="22"/>
      <c r="E7" s="22"/>
      <c r="F7" s="22"/>
      <c r="G7" s="22"/>
      <c r="H7" s="22"/>
      <c r="I7" s="22"/>
      <c r="J7" s="22"/>
      <c r="K7" s="2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21" x14ac:dyDescent="0.45">
      <c r="A8" s="32" t="s">
        <v>8</v>
      </c>
      <c r="B8" s="24"/>
      <c r="C8" s="24"/>
      <c r="D8" s="22"/>
      <c r="E8" s="22"/>
      <c r="F8" s="22"/>
      <c r="G8" s="22"/>
      <c r="H8" s="22"/>
      <c r="I8" s="33" t="s">
        <v>9</v>
      </c>
      <c r="J8" s="22"/>
      <c r="K8" s="2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8" x14ac:dyDescent="0.35">
      <c r="A9" s="21" t="s">
        <v>10</v>
      </c>
      <c r="B9" s="14" t="s">
        <v>161</v>
      </c>
      <c r="C9" s="22"/>
      <c r="D9" s="22"/>
      <c r="E9" s="22"/>
      <c r="F9" s="22"/>
      <c r="G9" s="22"/>
      <c r="H9" s="22"/>
      <c r="I9" s="22"/>
      <c r="J9" s="22"/>
      <c r="K9" s="2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6" ht="18" x14ac:dyDescent="0.35">
      <c r="A10" s="21" t="s">
        <v>11</v>
      </c>
      <c r="B10" s="15" t="s">
        <v>45</v>
      </c>
      <c r="C10" s="22"/>
      <c r="D10" s="22"/>
      <c r="E10" s="22"/>
      <c r="F10" s="22"/>
      <c r="G10" s="22"/>
      <c r="H10" s="22"/>
      <c r="I10" s="22"/>
      <c r="J10" s="22"/>
      <c r="K10" s="2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6" ht="18" x14ac:dyDescent="0.35">
      <c r="A11" s="21" t="s">
        <v>12</v>
      </c>
      <c r="B11" s="14" t="s">
        <v>39</v>
      </c>
      <c r="C11" s="22"/>
      <c r="D11" s="22"/>
      <c r="E11" s="22"/>
      <c r="F11" s="22"/>
      <c r="G11" s="22"/>
      <c r="H11" s="22"/>
      <c r="I11" s="22"/>
      <c r="J11" s="22"/>
      <c r="K11" s="2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8" x14ac:dyDescent="0.35">
      <c r="A12" s="21" t="s">
        <v>14</v>
      </c>
      <c r="B12" s="14" t="s">
        <v>60</v>
      </c>
      <c r="C12" s="22"/>
      <c r="D12" s="22"/>
      <c r="E12" s="22"/>
      <c r="F12" s="22"/>
      <c r="G12" s="22"/>
      <c r="H12" s="22"/>
      <c r="I12" s="22"/>
      <c r="J12" s="22"/>
      <c r="K12" s="2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6" ht="18" x14ac:dyDescent="0.35">
      <c r="A13" s="21" t="s">
        <v>15</v>
      </c>
      <c r="B13" s="16">
        <v>1</v>
      </c>
      <c r="C13" s="34" t="s">
        <v>16</v>
      </c>
      <c r="D13" s="22"/>
      <c r="E13" s="22"/>
      <c r="F13" s="22"/>
      <c r="G13" s="22"/>
      <c r="H13" s="22"/>
      <c r="I13" s="22"/>
      <c r="J13" s="22"/>
      <c r="K13" s="2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6" ht="18.75" thickBot="1" x14ac:dyDescent="0.4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6" ht="21" x14ac:dyDescent="0.45">
      <c r="A15" s="46" t="s">
        <v>17</v>
      </c>
      <c r="B15" s="47"/>
      <c r="C15" s="47"/>
      <c r="D15" s="47"/>
      <c r="E15" s="47"/>
      <c r="F15" s="48"/>
      <c r="G15" s="22"/>
      <c r="H15" s="22"/>
      <c r="I15" s="22"/>
      <c r="J15" s="22"/>
      <c r="K15" s="2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6" ht="18" x14ac:dyDescent="0.35">
      <c r="A16" s="21" t="s">
        <v>18</v>
      </c>
      <c r="B16" s="35">
        <v>0</v>
      </c>
      <c r="C16" s="22"/>
      <c r="D16" s="22"/>
      <c r="E16" s="22" t="s">
        <v>19</v>
      </c>
      <c r="F16" s="49">
        <f>SUMIFS(Data_Recipes!F:F, Data_Recipes!A:A, B11, Data_Recipes!B:B, B12) * B13</f>
        <v>78307795</v>
      </c>
      <c r="G16" s="22"/>
      <c r="H16" s="22"/>
      <c r="I16" s="22"/>
      <c r="J16" s="22"/>
      <c r="K16" s="2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.75" thickBot="1" x14ac:dyDescent="0.4">
      <c r="A17" s="50"/>
      <c r="B17" s="44"/>
      <c r="C17" s="44"/>
      <c r="D17" s="44"/>
      <c r="E17" s="44"/>
      <c r="F17" s="45"/>
      <c r="G17" s="22"/>
      <c r="H17" s="22"/>
      <c r="I17" s="22"/>
      <c r="J17" s="22"/>
      <c r="K17" s="2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x14ac:dyDescent="0.35">
      <c r="A18" s="51" t="s">
        <v>20</v>
      </c>
      <c r="B18" s="52" t="s">
        <v>21</v>
      </c>
      <c r="C18" s="52" t="s">
        <v>22</v>
      </c>
      <c r="D18" s="52" t="s">
        <v>23</v>
      </c>
      <c r="E18" s="52" t="s">
        <v>24</v>
      </c>
      <c r="F18" s="53" t="s">
        <v>25</v>
      </c>
      <c r="G18" s="22"/>
      <c r="H18" s="22"/>
      <c r="I18" s="22"/>
      <c r="J18" s="22"/>
      <c r="K18" s="2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x14ac:dyDescent="0.35">
      <c r="A19" s="36" t="s">
        <v>143</v>
      </c>
      <c r="B19" s="37">
        <v>0.12</v>
      </c>
      <c r="C19" s="38">
        <f>$F$16/(1-B19)</f>
        <v>88986130.681818187</v>
      </c>
      <c r="D19" s="39">
        <f>C19/MAX($B$4, $F$4/$F$5)</f>
        <v>2402.6255284090912</v>
      </c>
      <c r="E19" s="39">
        <f>($B$16 * $B$13)/MAX($B$4, $F$4/$F$5)</f>
        <v>0</v>
      </c>
      <c r="F19" s="54" t="str">
        <f>IF(C19&lt;($B$16*$B$13), "自造省 $"&amp;TEXT(((($B$16*$B$13)-C19)/MAX($B$4, $F$4/$F$5)),"0"), "直購省 $"&amp;TEXT(((C19-($B$16*$B$13))/MAX($B$4, $F$4/$F$5)),"0"))</f>
        <v>直購省 $2403</v>
      </c>
      <c r="G19" s="22"/>
      <c r="H19" s="22"/>
      <c r="I19" s="22"/>
      <c r="J19" s="22"/>
      <c r="K19" s="2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x14ac:dyDescent="0.35">
      <c r="A20" s="36" t="s">
        <v>141</v>
      </c>
      <c r="B20" s="37">
        <v>0.2</v>
      </c>
      <c r="C20" s="38">
        <f>$F$16/(1-B20)</f>
        <v>97884743.75</v>
      </c>
      <c r="D20" s="39">
        <f>C20/MAX($B$4, $F$4/$F$5)</f>
        <v>2642.8880812500001</v>
      </c>
      <c r="E20" s="39">
        <f>($B$16 * $B$13)/MAX($B$4, $F$4/$F$5)</f>
        <v>0</v>
      </c>
      <c r="F20" s="54" t="str">
        <f>IF(C20&lt;($B$16*$B$13), "自造省 $"&amp;TEXT(((($B$16*$B$13)-C20)/MAX($B$4, $F$4/$F$5)),"0"), "直購省 $"&amp;TEXT(((C20-($B$16*$B$13))/MAX($B$4, $F$4/$F$5)),"0"))</f>
        <v>直購省 $2643</v>
      </c>
      <c r="G20" s="22"/>
      <c r="H20" s="22"/>
      <c r="I20" s="22"/>
      <c r="J20" s="22"/>
      <c r="K20" s="2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.75" thickBot="1" x14ac:dyDescent="0.4">
      <c r="A21" s="40" t="s">
        <v>142</v>
      </c>
      <c r="B21" s="41">
        <v>0.22</v>
      </c>
      <c r="C21" s="42">
        <f>$F$16/(1-B21)</f>
        <v>100394608.97435898</v>
      </c>
      <c r="D21" s="43">
        <f>C21/MAX($B$4, $F$4/$F$5)</f>
        <v>2710.6544423076925</v>
      </c>
      <c r="E21" s="43">
        <f>($B$16 * $B$13)/MAX($B$4, $F$4/$F$5)</f>
        <v>0</v>
      </c>
      <c r="F21" s="55" t="str">
        <f>IF(C21&lt;($B$16*$B$13), "自造省 $"&amp;TEXT(((($B$16*$B$13)-C21)/MAX($B$4, $F$4/$F$5)),"0"), "直購省 $"&amp;TEXT(((C21-($B$16*$B$13))/MAX($B$4, $F$4/$F$5)),"0"))</f>
        <v>直購省 $2711</v>
      </c>
      <c r="G21" s="44"/>
      <c r="H21" s="44"/>
      <c r="I21" s="44"/>
      <c r="J21" s="44"/>
      <c r="K21" s="4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</sheetData>
  <sheetProtection algorithmName="SHA-512" hashValue="svr5IeCU/oH0DsjV95UwEqaA4IOvNNDyQXQIVrCK8jgURStpmqMVcmI2w5ShwPkeUkb2BkOjQo4mJ3+Sk59Pgw==" saltValue="PjBYUIFJmm3aFRXEiimKWQ==" spinCount="100000" sheet="1" objects="1" scenarios="1"/>
  <protectedRanges>
    <protectedRange sqref="B16" name="範圍5"/>
    <protectedRange sqref="B9:B13" name="範圍4"/>
    <protectedRange sqref="F5" name="範圍3"/>
    <protectedRange sqref="F4" name="範圍2"/>
    <protectedRange sqref="B4" name="範圍1"/>
  </protectedRanges>
  <mergeCells count="6">
    <mergeCell ref="I3:K3"/>
    <mergeCell ref="A15:F15"/>
    <mergeCell ref="A8:C8"/>
    <mergeCell ref="B6:E6"/>
    <mergeCell ref="A3:C3"/>
    <mergeCell ref="E3:G3"/>
  </mergeCells>
  <phoneticPr fontId="12" type="noConversion"/>
  <dataValidations count="2">
    <dataValidation type="list" sqref="B9" xr:uid="{00000000-0002-0000-0000-000000000000}">
      <formula1>$Z$1:$Z$3</formula1>
    </dataValidation>
    <dataValidation type="list" sqref="B12" xr:uid="{00000000-0002-0000-0000-000003000000}">
      <formula1>INDIRECT($B$11)</formula1>
    </dataValidation>
  </dataValidations>
  <hyperlinks>
    <hyperlink ref="I8" location="Price_List!A1" display="⚠️ 更新價格" xr:uid="{00000000-0004-0000-00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1000000}">
          <x14:formula1>
            <xm:f>Price_List!$AA$2</xm:f>
          </x14:formula1>
          <xm:sqref>B10</xm:sqref>
        </x14:dataValidation>
        <x14:dataValidation type="list" xr:uid="{00000000-0002-0000-0000-000002000000}">
          <x14:formula1>
            <xm:f>Price_List!$AC$2:$AC$5</xm:f>
          </x14:formula1>
          <xm:sqref>B11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0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5" customWidth="1"/>
    <col min="2" max="2" width="20" customWidth="1"/>
    <col min="3" max="4" width="25.7109375" customWidth="1"/>
    <col min="5" max="5" width="15.7109375" customWidth="1"/>
    <col min="26" max="26" width="8.7109375" customWidth="1"/>
    <col min="27" max="38" width="11.7109375" hidden="1" customWidth="1"/>
    <col min="39" max="39" width="9.140625" customWidth="1"/>
  </cols>
  <sheetData>
    <row r="1" spans="1:38" ht="21" x14ac:dyDescent="0.45">
      <c r="A1" s="7" t="s">
        <v>26</v>
      </c>
      <c r="B1" s="8" t="s">
        <v>27</v>
      </c>
      <c r="C1" s="8" t="s">
        <v>28</v>
      </c>
      <c r="D1" s="8" t="s">
        <v>29</v>
      </c>
      <c r="E1" s="9" t="s">
        <v>30</v>
      </c>
      <c r="AA1" t="s">
        <v>31</v>
      </c>
      <c r="AB1" t="s">
        <v>32</v>
      </c>
      <c r="AC1" t="s">
        <v>33</v>
      </c>
      <c r="AD1" t="s">
        <v>13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</row>
    <row r="2" spans="1:38" ht="18" x14ac:dyDescent="0.35">
      <c r="A2" s="13" t="s">
        <v>94</v>
      </c>
      <c r="B2" s="11">
        <v>57999</v>
      </c>
      <c r="C2" s="12">
        <f>IF(B2="", "", B2*0.8)</f>
        <v>46399.200000000004</v>
      </c>
      <c r="D2" s="12">
        <f>IF(B2="", "", B2*1.2)</f>
        <v>69598.8</v>
      </c>
      <c r="E2" s="10"/>
      <c r="AA2" t="s">
        <v>91</v>
      </c>
      <c r="AB2" t="s">
        <v>13</v>
      </c>
      <c r="AC2" t="s">
        <v>38</v>
      </c>
      <c r="AD2" t="s">
        <v>43</v>
      </c>
      <c r="AE2" t="s">
        <v>43</v>
      </c>
      <c r="AF2" t="s">
        <v>43</v>
      </c>
      <c r="AG2" t="s">
        <v>43</v>
      </c>
      <c r="AH2" t="s">
        <v>43</v>
      </c>
      <c r="AI2" t="s">
        <v>43</v>
      </c>
      <c r="AJ2" t="s">
        <v>43</v>
      </c>
      <c r="AK2" t="s">
        <v>43</v>
      </c>
      <c r="AL2" t="s">
        <v>43</v>
      </c>
    </row>
    <row r="3" spans="1:38" ht="18" x14ac:dyDescent="0.35">
      <c r="A3" s="10" t="s">
        <v>42</v>
      </c>
      <c r="B3" s="11">
        <v>11900</v>
      </c>
      <c r="C3" s="12">
        <f>IF(B3="", "", B3*0.8)</f>
        <v>9520</v>
      </c>
      <c r="D3" s="12">
        <f>IF(B3="", "", B3*1.2)</f>
        <v>14280</v>
      </c>
      <c r="E3" s="10"/>
      <c r="AA3" t="s">
        <v>92</v>
      </c>
      <c r="AB3" t="s">
        <v>34</v>
      </c>
      <c r="AC3" t="s">
        <v>39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46</v>
      </c>
      <c r="AJ3" t="s">
        <v>46</v>
      </c>
      <c r="AK3" t="s">
        <v>46</v>
      </c>
      <c r="AL3" t="s">
        <v>46</v>
      </c>
    </row>
    <row r="4" spans="1:38" ht="18" x14ac:dyDescent="0.35">
      <c r="A4" s="13" t="s">
        <v>96</v>
      </c>
      <c r="B4" s="11">
        <v>5984</v>
      </c>
      <c r="C4" s="12">
        <f>IF(B4="", "", B4*0.8)</f>
        <v>4787.2</v>
      </c>
      <c r="D4" s="12">
        <f>IF(B4="", "", B4*1.2)</f>
        <v>7180.8</v>
      </c>
      <c r="E4" s="10"/>
      <c r="AB4" t="s">
        <v>35</v>
      </c>
      <c r="AC4" t="s">
        <v>40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</row>
    <row r="5" spans="1:38" ht="18" x14ac:dyDescent="0.35">
      <c r="A5" s="13" t="s">
        <v>95</v>
      </c>
      <c r="B5" s="11">
        <v>1222222</v>
      </c>
      <c r="C5" s="12">
        <f>IF(B5="", "", B5*0.8)</f>
        <v>977777.60000000009</v>
      </c>
      <c r="D5" s="12">
        <f>IF(B5="", "", B5*1.2)</f>
        <v>1466666.4</v>
      </c>
      <c r="E5" s="10"/>
      <c r="AB5" t="s">
        <v>36</v>
      </c>
      <c r="AC5" t="s">
        <v>41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</row>
    <row r="6" spans="1:38" ht="18" x14ac:dyDescent="0.35">
      <c r="A6" s="13" t="s">
        <v>138</v>
      </c>
      <c r="B6" s="11">
        <v>4665</v>
      </c>
      <c r="C6" s="12">
        <f>IF(B6="", "", B6*0.8)</f>
        <v>3732</v>
      </c>
      <c r="D6" s="12">
        <f>IF(B6="", "", B6*1.2)</f>
        <v>5598</v>
      </c>
      <c r="E6" s="10"/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</row>
    <row r="7" spans="1:38" ht="18" x14ac:dyDescent="0.35">
      <c r="A7" s="10" t="s">
        <v>53</v>
      </c>
      <c r="B7" s="11">
        <v>11900</v>
      </c>
      <c r="C7" s="12">
        <f>IF(B7="", "", B7*0.8)</f>
        <v>9520</v>
      </c>
      <c r="D7" s="12">
        <f>IF(B7="", "", B7*1.2)</f>
        <v>14280</v>
      </c>
      <c r="E7" s="10"/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</row>
    <row r="8" spans="1:38" ht="18" x14ac:dyDescent="0.35">
      <c r="A8" s="13" t="s">
        <v>137</v>
      </c>
      <c r="B8" s="11">
        <v>2500</v>
      </c>
      <c r="C8" s="12">
        <f>IF(B8="", "", B8*0.8)</f>
        <v>2000</v>
      </c>
      <c r="D8" s="12">
        <f>IF(B8="", "", B8*1.2)</f>
        <v>3000</v>
      </c>
      <c r="E8" s="10"/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</row>
    <row r="9" spans="1:38" ht="18" x14ac:dyDescent="0.35">
      <c r="A9" s="13" t="s">
        <v>128</v>
      </c>
      <c r="B9" s="11">
        <v>2500000</v>
      </c>
      <c r="C9" s="12">
        <f>IF(B9="", "", B9*0.8)</f>
        <v>2000000</v>
      </c>
      <c r="D9" s="12">
        <f>IF(B9="", "", B9*1.2)</f>
        <v>3000000</v>
      </c>
      <c r="E9" s="10"/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</row>
    <row r="10" spans="1:38" ht="18" x14ac:dyDescent="0.35">
      <c r="A10" s="10" t="s">
        <v>66</v>
      </c>
      <c r="B10" s="11">
        <v>6879998</v>
      </c>
      <c r="C10" s="12">
        <f>IF(B10="", "", B10*0.8)</f>
        <v>5503998.4000000004</v>
      </c>
      <c r="D10" s="12">
        <f>IF(B10="", "", B10*1.2)</f>
        <v>8255997.5999999996</v>
      </c>
      <c r="E10" s="10"/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</row>
    <row r="11" spans="1:38" ht="18" x14ac:dyDescent="0.35">
      <c r="A11" s="10" t="s">
        <v>82</v>
      </c>
      <c r="B11" s="11">
        <v>2749000</v>
      </c>
      <c r="C11" s="12">
        <f>IF(B11="", "", B11*0.8)</f>
        <v>2199200</v>
      </c>
      <c r="D11" s="12">
        <f>IF(B11="", "", B11*1.2)</f>
        <v>3298800</v>
      </c>
      <c r="E11" s="10"/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</row>
    <row r="12" spans="1:38" ht="18" x14ac:dyDescent="0.35">
      <c r="A12" s="13" t="s">
        <v>102</v>
      </c>
      <c r="B12" s="11">
        <v>2999990</v>
      </c>
      <c r="C12" s="12">
        <f>IF(B12="", "", B12*0.8)</f>
        <v>2399992</v>
      </c>
      <c r="D12" s="12">
        <f>IF(B12="", "", B12*1.2)</f>
        <v>3599988</v>
      </c>
      <c r="E12" s="10"/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</row>
    <row r="13" spans="1:38" ht="18" x14ac:dyDescent="0.35">
      <c r="A13" s="13" t="s">
        <v>101</v>
      </c>
      <c r="B13" s="11">
        <v>2900000</v>
      </c>
      <c r="C13" s="12">
        <f>IF(B13="", "", B13*0.8)</f>
        <v>2320000</v>
      </c>
      <c r="D13" s="12">
        <f>IF(B13="", "", B13*1.2)</f>
        <v>3480000</v>
      </c>
      <c r="E13" s="10"/>
      <c r="AD13" t="s">
        <v>111</v>
      </c>
      <c r="AE13" t="s">
        <v>111</v>
      </c>
      <c r="AF13" t="s">
        <v>111</v>
      </c>
      <c r="AG13" t="s">
        <v>111</v>
      </c>
      <c r="AH13" t="s">
        <v>111</v>
      </c>
      <c r="AI13" t="s">
        <v>111</v>
      </c>
      <c r="AJ13" t="s">
        <v>111</v>
      </c>
      <c r="AK13" t="s">
        <v>111</v>
      </c>
      <c r="AL13" t="s">
        <v>111</v>
      </c>
    </row>
    <row r="14" spans="1:38" ht="18" x14ac:dyDescent="0.35">
      <c r="A14" s="10" t="s">
        <v>83</v>
      </c>
      <c r="B14" s="11">
        <v>3300088</v>
      </c>
      <c r="C14" s="12">
        <f>IF(B14="", "", B14*0.8)</f>
        <v>2640070.4000000004</v>
      </c>
      <c r="D14" s="12">
        <f>IF(B14="", "", B14*1.2)</f>
        <v>3960105.5999999996</v>
      </c>
      <c r="E14" s="10"/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</row>
    <row r="15" spans="1:38" ht="18" x14ac:dyDescent="0.35">
      <c r="A15" s="13" t="s">
        <v>97</v>
      </c>
      <c r="B15" s="11">
        <v>3150000</v>
      </c>
      <c r="C15" s="12">
        <f>IF(B15="", "", B15*0.8)</f>
        <v>2520000</v>
      </c>
      <c r="D15" s="12">
        <f>IF(B15="", "", B15*1.2)</f>
        <v>3780000</v>
      </c>
      <c r="E15" s="10"/>
      <c r="AD15" t="s">
        <v>68</v>
      </c>
      <c r="AE15" t="s">
        <v>68</v>
      </c>
      <c r="AF15" t="s">
        <v>68</v>
      </c>
      <c r="AG15" t="s">
        <v>68</v>
      </c>
      <c r="AH15" t="s">
        <v>68</v>
      </c>
      <c r="AI15" t="s">
        <v>68</v>
      </c>
      <c r="AJ15" t="s">
        <v>68</v>
      </c>
      <c r="AK15" t="s">
        <v>68</v>
      </c>
      <c r="AL15" t="s">
        <v>68</v>
      </c>
    </row>
    <row r="16" spans="1:38" ht="18" x14ac:dyDescent="0.35">
      <c r="A16" s="10" t="s">
        <v>69</v>
      </c>
      <c r="B16" s="11">
        <v>8222222</v>
      </c>
      <c r="C16" s="12">
        <f>IF(B16="", "", B16*0.8)</f>
        <v>6577777.6000000006</v>
      </c>
      <c r="D16" s="12">
        <f>IF(B16="", "", B16*1.2)</f>
        <v>9866666.4000000004</v>
      </c>
      <c r="E16" s="10"/>
      <c r="AD16" t="s">
        <v>70</v>
      </c>
      <c r="AE16" t="s">
        <v>70</v>
      </c>
      <c r="AF16" t="s">
        <v>70</v>
      </c>
      <c r="AG16" t="s">
        <v>70</v>
      </c>
      <c r="AH16" t="s">
        <v>70</v>
      </c>
      <c r="AI16" t="s">
        <v>70</v>
      </c>
      <c r="AJ16" t="s">
        <v>70</v>
      </c>
      <c r="AK16" t="s">
        <v>70</v>
      </c>
      <c r="AL16" t="s">
        <v>70</v>
      </c>
    </row>
    <row r="17" spans="1:38" ht="18" x14ac:dyDescent="0.35">
      <c r="A17" s="13" t="s">
        <v>127</v>
      </c>
      <c r="B17" s="11">
        <v>2866664</v>
      </c>
      <c r="C17" s="12">
        <f>IF(B17="", "", B17*0.8)</f>
        <v>2293331.2000000002</v>
      </c>
      <c r="D17" s="12">
        <f>IF(B17="", "", B17*1.2)</f>
        <v>3439996.8</v>
      </c>
      <c r="E17" s="10"/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72</v>
      </c>
    </row>
    <row r="18" spans="1:38" ht="18" x14ac:dyDescent="0.35">
      <c r="A18" s="10" t="s">
        <v>71</v>
      </c>
      <c r="B18" s="11">
        <v>10500000</v>
      </c>
      <c r="C18" s="12">
        <f>IF(B18="", "", B18*0.8)</f>
        <v>8400000</v>
      </c>
      <c r="D18" s="12">
        <f>IF(B18="", "", B18*1.2)</f>
        <v>12600000</v>
      </c>
      <c r="E18" s="10"/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</row>
    <row r="19" spans="1:38" ht="18" x14ac:dyDescent="0.35">
      <c r="A19" s="10" t="s">
        <v>73</v>
      </c>
      <c r="B19" s="11">
        <v>9999999</v>
      </c>
      <c r="C19" s="12">
        <f>IF(B19="", "", B19*0.8)</f>
        <v>7999999.2000000002</v>
      </c>
      <c r="D19" s="12">
        <f>IF(B19="", "", B19*1.2)</f>
        <v>11999998.799999999</v>
      </c>
      <c r="E19" s="10"/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</row>
    <row r="20" spans="1:38" ht="18" x14ac:dyDescent="0.35">
      <c r="A20" s="10" t="s">
        <v>80</v>
      </c>
      <c r="B20" s="11">
        <v>10400000</v>
      </c>
      <c r="C20" s="12">
        <f>IF(B20="", "", B20*0.8)</f>
        <v>8320000</v>
      </c>
      <c r="D20" s="12">
        <f>IF(B20="", "", B20*1.2)</f>
        <v>12480000</v>
      </c>
      <c r="E20" s="10"/>
      <c r="AD20" t="s">
        <v>78</v>
      </c>
      <c r="AE20" t="s">
        <v>78</v>
      </c>
      <c r="AF20" t="s">
        <v>78</v>
      </c>
      <c r="AG20" t="s">
        <v>78</v>
      </c>
      <c r="AH20" t="s">
        <v>78</v>
      </c>
      <c r="AI20" t="s">
        <v>78</v>
      </c>
      <c r="AJ20" t="s">
        <v>78</v>
      </c>
      <c r="AK20" t="s">
        <v>78</v>
      </c>
      <c r="AL20" t="s">
        <v>78</v>
      </c>
    </row>
    <row r="21" spans="1:38" ht="18" x14ac:dyDescent="0.35">
      <c r="A21" s="13" t="s">
        <v>129</v>
      </c>
      <c r="B21" s="11">
        <v>3429999</v>
      </c>
      <c r="C21" s="12">
        <f>IF(B21="", "", B21*0.8)</f>
        <v>2743999.2</v>
      </c>
      <c r="D21" s="12">
        <f>IF(B21="", "", B21*1.2)</f>
        <v>4115998.8</v>
      </c>
      <c r="E21" s="10"/>
    </row>
    <row r="22" spans="1:38" ht="18" x14ac:dyDescent="0.35">
      <c r="A22" s="10" t="s">
        <v>75</v>
      </c>
      <c r="B22" s="11">
        <v>12000000</v>
      </c>
      <c r="C22" s="12">
        <f>IF(B22="", "", B22*0.8)</f>
        <v>9600000</v>
      </c>
      <c r="D22" s="12">
        <f>IF(B22="", "", B22*1.2)</f>
        <v>14400000</v>
      </c>
      <c r="E22" s="10"/>
    </row>
    <row r="23" spans="1:38" ht="18" x14ac:dyDescent="0.35">
      <c r="A23" s="13" t="s">
        <v>133</v>
      </c>
      <c r="B23" s="11">
        <v>3149990</v>
      </c>
      <c r="C23" s="12">
        <f>IF(B23="", "", B23*0.8)</f>
        <v>2519992</v>
      </c>
      <c r="D23" s="12">
        <f>IF(B23="", "", B23*1.2)</f>
        <v>3779988</v>
      </c>
      <c r="E23" s="10"/>
    </row>
    <row r="24" spans="1:38" ht="18" x14ac:dyDescent="0.35">
      <c r="A24" s="13" t="s">
        <v>132</v>
      </c>
      <c r="B24" s="11">
        <v>3188800</v>
      </c>
      <c r="C24" s="12">
        <f>IF(B24="", "", B24*0.8)</f>
        <v>2551040</v>
      </c>
      <c r="D24" s="12">
        <f>IF(B24="", "", B24*1.2)</f>
        <v>3826560</v>
      </c>
      <c r="E24" s="10"/>
    </row>
    <row r="25" spans="1:38" ht="18" x14ac:dyDescent="0.35">
      <c r="A25" s="10" t="s">
        <v>77</v>
      </c>
      <c r="B25" s="11">
        <v>10101008</v>
      </c>
      <c r="C25" s="12">
        <f>IF(B25="", "", B25*0.8)</f>
        <v>8080806.4000000004</v>
      </c>
      <c r="D25" s="12">
        <f>IF(B25="", "", B25*1.2)</f>
        <v>12121209.6</v>
      </c>
      <c r="E25" s="10"/>
    </row>
    <row r="26" spans="1:38" ht="18" x14ac:dyDescent="0.35">
      <c r="A26" s="10" t="s">
        <v>81</v>
      </c>
      <c r="B26" s="11">
        <v>10500000</v>
      </c>
      <c r="C26" s="12">
        <f>IF(B26="", "", B26*0.8)</f>
        <v>8400000</v>
      </c>
      <c r="D26" s="12">
        <f>IF(B26="", "", B26*1.2)</f>
        <v>12600000</v>
      </c>
      <c r="E26" s="10"/>
    </row>
    <row r="27" spans="1:38" ht="18" x14ac:dyDescent="0.35">
      <c r="A27" s="10" t="s">
        <v>79</v>
      </c>
      <c r="B27" s="11">
        <v>2599988</v>
      </c>
      <c r="C27" s="12">
        <f>IF(B27="", "", B27*0.8)</f>
        <v>2079990.4000000001</v>
      </c>
      <c r="D27" s="12">
        <f>IF(B27="", "", B27*1.2)</f>
        <v>3119985.6</v>
      </c>
      <c r="E27" s="10"/>
    </row>
    <row r="28" spans="1:38" ht="18" x14ac:dyDescent="0.35">
      <c r="A28" s="10" t="s">
        <v>84</v>
      </c>
      <c r="B28" s="11">
        <v>2118888</v>
      </c>
      <c r="C28" s="12">
        <f>IF(B28="", "", B28*0.8)</f>
        <v>1695110.4000000001</v>
      </c>
      <c r="D28" s="12">
        <f>IF(B28="", "", B28*1.2)</f>
        <v>2542665.6</v>
      </c>
      <c r="E28" s="10"/>
    </row>
    <row r="29" spans="1:38" ht="18" x14ac:dyDescent="0.35">
      <c r="A29" s="10" t="s">
        <v>85</v>
      </c>
      <c r="B29" s="11">
        <v>2350000</v>
      </c>
      <c r="C29" s="12">
        <f>IF(B29="", "", B29*0.8)</f>
        <v>1880000</v>
      </c>
      <c r="D29" s="12">
        <f>IF(B29="", "", B29*1.2)</f>
        <v>2820000</v>
      </c>
      <c r="E29" s="10"/>
    </row>
    <row r="30" spans="1:38" ht="18" x14ac:dyDescent="0.35">
      <c r="A30" s="10" t="s">
        <v>67</v>
      </c>
      <c r="B30" s="11">
        <v>560000</v>
      </c>
      <c r="C30" s="12">
        <f>IF(B30="", "", B30*0.8)</f>
        <v>448000</v>
      </c>
      <c r="D30" s="12">
        <f>IF(B30="", "", B30*1.2)</f>
        <v>672000</v>
      </c>
      <c r="E30" s="10"/>
    </row>
    <row r="31" spans="1:38" ht="18" x14ac:dyDescent="0.35">
      <c r="A31" s="10" t="s">
        <v>51</v>
      </c>
      <c r="B31" s="11">
        <v>899999</v>
      </c>
      <c r="C31" s="12">
        <f>IF(B31="", "", B31*0.8)</f>
        <v>719999.20000000007</v>
      </c>
      <c r="D31" s="12">
        <f>IF(B31="", "", B31*1.2)</f>
        <v>1079998.8</v>
      </c>
      <c r="E31" s="10"/>
    </row>
    <row r="32" spans="1:38" ht="18" x14ac:dyDescent="0.35">
      <c r="A32" s="10" t="s">
        <v>47</v>
      </c>
      <c r="B32" s="11">
        <v>2199999</v>
      </c>
      <c r="C32" s="12">
        <f>IF(B32="", "", B32*0.8)</f>
        <v>1759999.2000000002</v>
      </c>
      <c r="D32" s="12">
        <f>IF(B32="", "", B32*1.2)</f>
        <v>2639998.7999999998</v>
      </c>
      <c r="E32" s="10"/>
    </row>
    <row r="33" spans="1:5" ht="18" x14ac:dyDescent="0.35">
      <c r="A33" s="10" t="s">
        <v>49</v>
      </c>
      <c r="B33" s="11">
        <v>1650000</v>
      </c>
      <c r="C33" s="12">
        <f>IF(B33="", "", B33*0.8)</f>
        <v>1320000</v>
      </c>
      <c r="D33" s="12">
        <f>IF(B33="", "", B33*1.2)</f>
        <v>1980000</v>
      </c>
      <c r="E33" s="10"/>
    </row>
    <row r="34" spans="1:5" ht="18" x14ac:dyDescent="0.35">
      <c r="A34" s="10" t="s">
        <v>59</v>
      </c>
      <c r="B34" s="11">
        <v>195497</v>
      </c>
      <c r="C34" s="12">
        <f>IF(B34="", "", B34*0.8)</f>
        <v>156397.6</v>
      </c>
      <c r="D34" s="12">
        <f>IF(B34="", "", B34*1.2)</f>
        <v>234596.4</v>
      </c>
      <c r="E34" s="10"/>
    </row>
    <row r="35" spans="1:5" ht="18" x14ac:dyDescent="0.35">
      <c r="A35" s="10" t="s">
        <v>61</v>
      </c>
      <c r="B35" s="11">
        <v>188000</v>
      </c>
      <c r="C35" s="12">
        <f>IF(B35="", "", B35*0.8)</f>
        <v>150400</v>
      </c>
      <c r="D35" s="12">
        <f>IF(B35="", "", B35*1.2)</f>
        <v>225600</v>
      </c>
      <c r="E35" s="10"/>
    </row>
    <row r="36" spans="1:5" ht="18" x14ac:dyDescent="0.35">
      <c r="A36" s="10" t="s">
        <v>57</v>
      </c>
      <c r="B36" s="11">
        <v>205000</v>
      </c>
      <c r="C36" s="12">
        <f>IF(B36="", "", B36*0.8)</f>
        <v>164000</v>
      </c>
      <c r="D36" s="12">
        <f>IF(B36="", "", B36*1.2)</f>
        <v>246000</v>
      </c>
      <c r="E36" s="10"/>
    </row>
    <row r="37" spans="1:5" ht="18" x14ac:dyDescent="0.35">
      <c r="A37" s="10" t="s">
        <v>55</v>
      </c>
      <c r="B37" s="11">
        <v>189998</v>
      </c>
      <c r="C37" s="12">
        <f>IF(B37="", "", B37*0.8)</f>
        <v>151998.39999999999</v>
      </c>
      <c r="D37" s="12">
        <f>IF(B37="", "", B37*1.2)</f>
        <v>227997.6</v>
      </c>
      <c r="E37" s="10"/>
    </row>
    <row r="38" spans="1:5" ht="18" x14ac:dyDescent="0.35">
      <c r="A38" s="10" t="s">
        <v>63</v>
      </c>
      <c r="B38" s="11">
        <v>208996</v>
      </c>
      <c r="C38" s="12">
        <f>IF(B38="", "", B38*0.8)</f>
        <v>167196.80000000002</v>
      </c>
      <c r="D38" s="12">
        <f>IF(B38="", "", B38*1.2)</f>
        <v>250795.19999999998</v>
      </c>
      <c r="E38" s="10"/>
    </row>
    <row r="39" spans="1:5" ht="18" x14ac:dyDescent="0.35">
      <c r="A39" s="10" t="s">
        <v>65</v>
      </c>
      <c r="B39" s="11">
        <v>204890</v>
      </c>
      <c r="C39" s="12">
        <f>IF(B39="", "", B39*0.8)</f>
        <v>163912</v>
      </c>
      <c r="D39" s="12">
        <f>IF(B39="", "", B39*1.2)</f>
        <v>245868</v>
      </c>
      <c r="E39" s="10"/>
    </row>
    <row r="40" spans="1:5" ht="18" x14ac:dyDescent="0.35">
      <c r="A40" s="13" t="s">
        <v>98</v>
      </c>
      <c r="B40" s="11">
        <v>1700</v>
      </c>
      <c r="C40" s="12">
        <f>IF(B40="", "", B40*0.8)</f>
        <v>1360</v>
      </c>
      <c r="D40" s="12">
        <f>IF(B40="", "", B40*1.2)</f>
        <v>2040</v>
      </c>
      <c r="E40" s="10"/>
    </row>
    <row r="41" spans="1:5" ht="18" x14ac:dyDescent="0.35">
      <c r="A41" s="10" t="s">
        <v>86</v>
      </c>
      <c r="B41" s="11">
        <v>10998</v>
      </c>
      <c r="C41" s="12">
        <f>IF(B41="", "", B41*0.8)</f>
        <v>8798.4</v>
      </c>
      <c r="D41" s="12">
        <f>IF(B41="", "", B41*1.2)</f>
        <v>13197.6</v>
      </c>
      <c r="E41" s="10"/>
    </row>
    <row r="42" spans="1:5" ht="18" x14ac:dyDescent="0.35">
      <c r="A42" s="13" t="s">
        <v>99</v>
      </c>
      <c r="B42" s="11">
        <v>3555</v>
      </c>
      <c r="C42" s="12">
        <f>IF(B42="", "", B42*0.8)</f>
        <v>2844</v>
      </c>
      <c r="D42" s="12">
        <f>IF(B42="", "", B42*1.2)</f>
        <v>4266</v>
      </c>
      <c r="E42" s="10"/>
    </row>
    <row r="43" spans="1:5" ht="18" x14ac:dyDescent="0.35">
      <c r="A43" s="13" t="s">
        <v>100</v>
      </c>
      <c r="B43" s="11">
        <v>220000</v>
      </c>
      <c r="C43" s="12">
        <f>IF(B43="", "", B43*0.8)</f>
        <v>176000</v>
      </c>
      <c r="D43" s="12">
        <f>IF(B43="", "", B43*1.2)</f>
        <v>264000</v>
      </c>
      <c r="E43" s="10"/>
    </row>
    <row r="44" spans="1:5" ht="18" x14ac:dyDescent="0.35">
      <c r="A44" s="10"/>
      <c r="B44" s="11"/>
      <c r="C44" s="12" t="str">
        <f>IF(B44="", "", B44*0.8)</f>
        <v/>
      </c>
      <c r="D44" s="12" t="str">
        <f>IF(B44="", "", B44*1.2)</f>
        <v/>
      </c>
      <c r="E44" s="10"/>
    </row>
    <row r="45" spans="1:5" ht="18" x14ac:dyDescent="0.35">
      <c r="A45" s="10"/>
      <c r="B45" s="11"/>
      <c r="C45" s="12" t="str">
        <f>IF(B45="", "", B45*0.8)</f>
        <v/>
      </c>
      <c r="D45" s="12" t="str">
        <f>IF(B45="", "", B45*1.2)</f>
        <v/>
      </c>
      <c r="E45" s="10"/>
    </row>
    <row r="46" spans="1:5" ht="18" x14ac:dyDescent="0.35">
      <c r="A46" s="10"/>
      <c r="B46" s="11"/>
      <c r="C46" s="12" t="str">
        <f>IF(B46="", "", B46*0.8)</f>
        <v/>
      </c>
      <c r="D46" s="12" t="str">
        <f>IF(B46="", "", B46*1.2)</f>
        <v/>
      </c>
      <c r="E46" s="10"/>
    </row>
    <row r="47" spans="1:5" ht="18" x14ac:dyDescent="0.35">
      <c r="A47" s="10"/>
      <c r="B47" s="11"/>
      <c r="C47" s="12" t="str">
        <f>IF(B47="", "", B47*0.8)</f>
        <v/>
      </c>
      <c r="D47" s="12" t="str">
        <f>IF(B47="", "", B47*1.2)</f>
        <v/>
      </c>
      <c r="E47" s="10"/>
    </row>
    <row r="48" spans="1:5" ht="18" x14ac:dyDescent="0.35">
      <c r="A48" s="10"/>
      <c r="B48" s="11"/>
      <c r="C48" s="12" t="str">
        <f>IF(B48="", "", B48*0.8)</f>
        <v/>
      </c>
      <c r="D48" s="12" t="str">
        <f>IF(B48="", "", B48*1.2)</f>
        <v/>
      </c>
      <c r="E48" s="10"/>
    </row>
    <row r="49" spans="1:5" ht="18" x14ac:dyDescent="0.35">
      <c r="A49" s="10"/>
      <c r="B49" s="11"/>
      <c r="C49" s="12" t="str">
        <f>IF(B49="", "", B49*0.8)</f>
        <v/>
      </c>
      <c r="D49" s="12" t="str">
        <f>IF(B49="", "", B49*1.2)</f>
        <v/>
      </c>
      <c r="E49" s="10"/>
    </row>
    <row r="50" spans="1:5" ht="18" x14ac:dyDescent="0.35">
      <c r="A50" s="10"/>
      <c r="B50" s="11"/>
      <c r="C50" s="12" t="str">
        <f>IF(B50="", "", B50*0.8)</f>
        <v/>
      </c>
      <c r="D50" s="12" t="str">
        <f>IF(B50="", "", B50*1.2)</f>
        <v/>
      </c>
      <c r="E50" s="10"/>
    </row>
    <row r="51" spans="1:5" ht="18" x14ac:dyDescent="0.35">
      <c r="A51" s="10"/>
      <c r="B51" s="11"/>
      <c r="C51" s="12" t="str">
        <f>IF(B51="", "", B51*0.8)</f>
        <v/>
      </c>
      <c r="D51" s="12" t="str">
        <f>IF(B51="", "", B51*1.2)</f>
        <v/>
      </c>
      <c r="E51" s="10"/>
    </row>
    <row r="52" spans="1:5" ht="18" x14ac:dyDescent="0.35">
      <c r="A52" s="10"/>
      <c r="B52" s="11"/>
      <c r="C52" s="12" t="str">
        <f>IF(B52="", "", B52*0.8)</f>
        <v/>
      </c>
      <c r="D52" s="12" t="str">
        <f>IF(B52="", "", B52*1.2)</f>
        <v/>
      </c>
      <c r="E52" s="10"/>
    </row>
    <row r="53" spans="1:5" ht="18" x14ac:dyDescent="0.35">
      <c r="A53" s="10"/>
      <c r="B53" s="11"/>
      <c r="C53" s="12" t="str">
        <f>IF(B53="", "", B53*0.8)</f>
        <v/>
      </c>
      <c r="D53" s="12" t="str">
        <f>IF(B53="", "", B53*1.2)</f>
        <v/>
      </c>
      <c r="E53" s="10"/>
    </row>
    <row r="54" spans="1:5" ht="18" x14ac:dyDescent="0.35">
      <c r="A54" s="10"/>
      <c r="B54" s="11"/>
      <c r="C54" s="12" t="str">
        <f>IF(B54="", "", B54*0.8)</f>
        <v/>
      </c>
      <c r="D54" s="12" t="str">
        <f>IF(B54="", "", B54*1.2)</f>
        <v/>
      </c>
      <c r="E54" s="10"/>
    </row>
    <row r="55" spans="1:5" ht="18" x14ac:dyDescent="0.35">
      <c r="A55" s="10"/>
      <c r="B55" s="11"/>
      <c r="C55" s="12" t="str">
        <f>IF(B55="", "", B55*0.8)</f>
        <v/>
      </c>
      <c r="D55" s="12" t="str">
        <f>IF(B55="", "", B55*1.2)</f>
        <v/>
      </c>
      <c r="E55" s="10"/>
    </row>
    <row r="56" spans="1:5" ht="18" x14ac:dyDescent="0.35">
      <c r="A56" s="10"/>
      <c r="B56" s="11"/>
      <c r="C56" s="12" t="str">
        <f>IF(B56="", "", B56*0.8)</f>
        <v/>
      </c>
      <c r="D56" s="12" t="str">
        <f>IF(B56="", "", B56*1.2)</f>
        <v/>
      </c>
      <c r="E56" s="10"/>
    </row>
    <row r="57" spans="1:5" ht="18" x14ac:dyDescent="0.35">
      <c r="A57" s="10"/>
      <c r="B57" s="11"/>
      <c r="C57" s="12" t="str">
        <f>IF(B57="", "", B57*0.8)</f>
        <v/>
      </c>
      <c r="D57" s="12" t="str">
        <f>IF(B57="", "", B57*1.2)</f>
        <v/>
      </c>
      <c r="E57" s="10"/>
    </row>
    <row r="58" spans="1:5" ht="18" x14ac:dyDescent="0.35">
      <c r="A58" s="10"/>
      <c r="B58" s="11"/>
      <c r="C58" s="12" t="str">
        <f>IF(B58="", "", B58*0.8)</f>
        <v/>
      </c>
      <c r="D58" s="12" t="str">
        <f>IF(B58="", "", B58*1.2)</f>
        <v/>
      </c>
      <c r="E58" s="10"/>
    </row>
    <row r="59" spans="1:5" ht="18" x14ac:dyDescent="0.35">
      <c r="A59" s="10"/>
      <c r="B59" s="11"/>
      <c r="C59" s="12" t="str">
        <f>IF(B59="", "", B59*0.8)</f>
        <v/>
      </c>
      <c r="D59" s="12" t="str">
        <f>IF(B59="", "", B59*1.2)</f>
        <v/>
      </c>
      <c r="E59" s="10"/>
    </row>
    <row r="60" spans="1:5" ht="18" x14ac:dyDescent="0.35">
      <c r="A60" s="10"/>
      <c r="B60" s="11"/>
      <c r="C60" s="12" t="str">
        <f>IF(B60="", "", B60*0.8)</f>
        <v/>
      </c>
      <c r="D60" s="12" t="str">
        <f>IF(B60="", "", B60*1.2)</f>
        <v/>
      </c>
      <c r="E60" s="10"/>
    </row>
    <row r="61" spans="1:5" ht="18" x14ac:dyDescent="0.35">
      <c r="A61" s="10"/>
      <c r="B61" s="11"/>
      <c r="C61" s="12" t="str">
        <f>IF(B61="", "", B61*0.8)</f>
        <v/>
      </c>
      <c r="D61" s="12" t="str">
        <f>IF(B61="", "", B61*1.2)</f>
        <v/>
      </c>
      <c r="E61" s="10"/>
    </row>
    <row r="62" spans="1:5" ht="18" x14ac:dyDescent="0.35">
      <c r="A62" s="10"/>
      <c r="B62" s="11"/>
      <c r="C62" s="12" t="str">
        <f>IF(B62="", "", B62*0.8)</f>
        <v/>
      </c>
      <c r="D62" s="12" t="str">
        <f>IF(B62="", "", B62*1.2)</f>
        <v/>
      </c>
      <c r="E62" s="10"/>
    </row>
    <row r="63" spans="1:5" ht="18" x14ac:dyDescent="0.35">
      <c r="A63" s="10"/>
      <c r="B63" s="11"/>
      <c r="C63" s="12" t="str">
        <f>IF(B63="", "", B63*0.8)</f>
        <v/>
      </c>
      <c r="D63" s="12" t="str">
        <f>IF(B63="", "", B63*1.2)</f>
        <v/>
      </c>
      <c r="E63" s="10"/>
    </row>
    <row r="64" spans="1:5" ht="18" x14ac:dyDescent="0.35">
      <c r="A64" s="10"/>
      <c r="B64" s="11"/>
      <c r="C64" s="12" t="str">
        <f>IF(B64="", "", B64*0.8)</f>
        <v/>
      </c>
      <c r="D64" s="12" t="str">
        <f>IF(B64="", "", B64*1.2)</f>
        <v/>
      </c>
      <c r="E64" s="10"/>
    </row>
    <row r="65" spans="1:5" ht="18" x14ac:dyDescent="0.35">
      <c r="A65" s="10"/>
      <c r="B65" s="11"/>
      <c r="C65" s="12" t="str">
        <f>IF(B65="", "", B65*0.8)</f>
        <v/>
      </c>
      <c r="D65" s="12" t="str">
        <f>IF(B65="", "", B65*1.2)</f>
        <v/>
      </c>
      <c r="E65" s="10"/>
    </row>
    <row r="66" spans="1:5" ht="18" x14ac:dyDescent="0.35">
      <c r="A66" s="10"/>
      <c r="B66" s="11"/>
      <c r="C66" s="12" t="str">
        <f>IF(B66="", "", B66*0.8)</f>
        <v/>
      </c>
      <c r="D66" s="12" t="str">
        <f>IF(B66="", "", B66*1.2)</f>
        <v/>
      </c>
      <c r="E66" s="10"/>
    </row>
    <row r="67" spans="1:5" ht="18" x14ac:dyDescent="0.35">
      <c r="A67" s="10"/>
      <c r="B67" s="11"/>
      <c r="C67" s="12" t="str">
        <f>IF(B67="", "", B67*0.8)</f>
        <v/>
      </c>
      <c r="D67" s="12" t="str">
        <f>IF(B67="", "", B67*1.2)</f>
        <v/>
      </c>
      <c r="E67" s="10"/>
    </row>
    <row r="68" spans="1:5" ht="18" x14ac:dyDescent="0.35">
      <c r="A68" s="10"/>
      <c r="B68" s="11"/>
      <c r="C68" s="12" t="str">
        <f>IF(B68="", "", B68*0.8)</f>
        <v/>
      </c>
      <c r="D68" s="12" t="str">
        <f>IF(B68="", "", B68*1.2)</f>
        <v/>
      </c>
      <c r="E68" s="10"/>
    </row>
    <row r="69" spans="1:5" ht="18" x14ac:dyDescent="0.35">
      <c r="A69" s="10"/>
      <c r="B69" s="11"/>
      <c r="C69" s="12" t="str">
        <f>IF(B69="", "", B69*0.8)</f>
        <v/>
      </c>
      <c r="D69" s="12" t="str">
        <f>IF(B69="", "", B69*1.2)</f>
        <v/>
      </c>
      <c r="E69" s="10"/>
    </row>
    <row r="70" spans="1:5" ht="18" x14ac:dyDescent="0.35">
      <c r="A70" s="10"/>
      <c r="B70" s="11"/>
      <c r="C70" s="12" t="str">
        <f>IF(B70="", "", B70*0.8)</f>
        <v/>
      </c>
      <c r="D70" s="12" t="str">
        <f>IF(B70="", "", B70*1.2)</f>
        <v/>
      </c>
      <c r="E70" s="10"/>
    </row>
    <row r="71" spans="1:5" ht="18" x14ac:dyDescent="0.35">
      <c r="A71" s="10"/>
      <c r="B71" s="11"/>
      <c r="C71" s="12" t="str">
        <f>IF(B71="", "", B71*0.8)</f>
        <v/>
      </c>
      <c r="D71" s="12" t="str">
        <f>IF(B71="", "", B71*1.2)</f>
        <v/>
      </c>
      <c r="E71" s="10"/>
    </row>
    <row r="72" spans="1:5" ht="18" x14ac:dyDescent="0.35">
      <c r="A72" s="10"/>
      <c r="B72" s="11"/>
      <c r="C72" s="12" t="str">
        <f>IF(B72="", "", B72*0.8)</f>
        <v/>
      </c>
      <c r="D72" s="12" t="str">
        <f>IF(B72="", "", B72*1.2)</f>
        <v/>
      </c>
      <c r="E72" s="10"/>
    </row>
    <row r="73" spans="1:5" ht="18" x14ac:dyDescent="0.35">
      <c r="A73" s="10"/>
      <c r="B73" s="11"/>
      <c r="C73" s="12" t="str">
        <f>IF(B73="", "", B73*0.8)</f>
        <v/>
      </c>
      <c r="D73" s="12" t="str">
        <f>IF(B73="", "", B73*1.2)</f>
        <v/>
      </c>
      <c r="E73" s="10"/>
    </row>
    <row r="74" spans="1:5" ht="18" x14ac:dyDescent="0.35">
      <c r="A74" s="10"/>
      <c r="B74" s="11"/>
      <c r="C74" s="12" t="str">
        <f>IF(B74="", "", B74*0.8)</f>
        <v/>
      </c>
      <c r="D74" s="12" t="str">
        <f>IF(B74="", "", B74*1.2)</f>
        <v/>
      </c>
      <c r="E74" s="10"/>
    </row>
    <row r="75" spans="1:5" ht="18" x14ac:dyDescent="0.35">
      <c r="A75" s="10"/>
      <c r="B75" s="11"/>
      <c r="C75" s="12" t="str">
        <f>IF(B75="", "", B75*0.8)</f>
        <v/>
      </c>
      <c r="D75" s="12" t="str">
        <f>IF(B75="", "", B75*1.2)</f>
        <v/>
      </c>
      <c r="E75" s="10"/>
    </row>
    <row r="76" spans="1:5" ht="18" x14ac:dyDescent="0.35">
      <c r="A76" s="10"/>
      <c r="B76" s="11"/>
      <c r="C76" s="12" t="str">
        <f>IF(B76="", "", B76*0.8)</f>
        <v/>
      </c>
      <c r="D76" s="12" t="str">
        <f>IF(B76="", "", B76*1.2)</f>
        <v/>
      </c>
      <c r="E76" s="10"/>
    </row>
    <row r="77" spans="1:5" ht="18" x14ac:dyDescent="0.35">
      <c r="A77" s="10"/>
      <c r="B77" s="11"/>
      <c r="C77" s="12" t="str">
        <f>IF(B77="", "", B77*0.8)</f>
        <v/>
      </c>
      <c r="D77" s="12" t="str">
        <f>IF(B77="", "", B77*1.2)</f>
        <v/>
      </c>
      <c r="E77" s="10"/>
    </row>
    <row r="78" spans="1:5" ht="18" x14ac:dyDescent="0.35">
      <c r="A78" s="10"/>
      <c r="B78" s="11"/>
      <c r="C78" s="12" t="str">
        <f>IF(B78="", "", B78*0.8)</f>
        <v/>
      </c>
      <c r="D78" s="12" t="str">
        <f>IF(B78="", "", B78*1.2)</f>
        <v/>
      </c>
      <c r="E78" s="10"/>
    </row>
    <row r="79" spans="1:5" ht="18" x14ac:dyDescent="0.35">
      <c r="A79" s="10"/>
      <c r="B79" s="11"/>
      <c r="C79" s="12" t="str">
        <f>IF(B79="", "", B79*0.8)</f>
        <v/>
      </c>
      <c r="D79" s="12" t="str">
        <f>IF(B79="", "", B79*1.2)</f>
        <v/>
      </c>
      <c r="E79" s="10"/>
    </row>
    <row r="80" spans="1:5" ht="18" x14ac:dyDescent="0.35">
      <c r="A80" s="10"/>
      <c r="B80" s="11"/>
      <c r="C80" s="12" t="str">
        <f>IF(B80="", "", B80*0.8)</f>
        <v/>
      </c>
      <c r="D80" s="12" t="str">
        <f>IF(B80="", "", B80*1.2)</f>
        <v/>
      </c>
      <c r="E80" s="10"/>
    </row>
    <row r="81" spans="1:5" ht="18" x14ac:dyDescent="0.35">
      <c r="A81" s="10"/>
      <c r="B81" s="11"/>
      <c r="C81" s="12" t="str">
        <f>IF(B81="", "", B81*0.8)</f>
        <v/>
      </c>
      <c r="D81" s="12" t="str">
        <f>IF(B81="", "", B81*1.2)</f>
        <v/>
      </c>
      <c r="E81" s="10"/>
    </row>
    <row r="82" spans="1:5" ht="18" x14ac:dyDescent="0.35">
      <c r="A82" s="10"/>
      <c r="B82" s="11"/>
      <c r="C82" s="12" t="str">
        <f>IF(B82="", "", B82*0.8)</f>
        <v/>
      </c>
      <c r="D82" s="12" t="str">
        <f>IF(B82="", "", B82*1.2)</f>
        <v/>
      </c>
      <c r="E82" s="10"/>
    </row>
    <row r="83" spans="1:5" ht="18" x14ac:dyDescent="0.35">
      <c r="A83" s="10"/>
      <c r="B83" s="11"/>
      <c r="C83" s="12" t="str">
        <f>IF(B83="", "", B83*0.8)</f>
        <v/>
      </c>
      <c r="D83" s="12" t="str">
        <f>IF(B83="", "", B83*1.2)</f>
        <v/>
      </c>
      <c r="E83" s="10"/>
    </row>
    <row r="84" spans="1:5" ht="18" x14ac:dyDescent="0.35">
      <c r="A84" s="10"/>
      <c r="B84" s="11"/>
      <c r="C84" s="12" t="str">
        <f>IF(B84="", "", B84*0.8)</f>
        <v/>
      </c>
      <c r="D84" s="12" t="str">
        <f>IF(B84="", "", B84*1.2)</f>
        <v/>
      </c>
      <c r="E84" s="10"/>
    </row>
    <row r="85" spans="1:5" ht="18" x14ac:dyDescent="0.35">
      <c r="A85" s="10"/>
      <c r="B85" s="11"/>
      <c r="C85" s="12" t="str">
        <f>IF(B85="", "", B85*0.8)</f>
        <v/>
      </c>
      <c r="D85" s="12" t="str">
        <f>IF(B85="", "", B85*1.2)</f>
        <v/>
      </c>
      <c r="E85" s="10"/>
    </row>
    <row r="86" spans="1:5" ht="18" x14ac:dyDescent="0.35">
      <c r="A86" s="10"/>
      <c r="B86" s="11"/>
      <c r="C86" s="12" t="str">
        <f>IF(B86="", "", B86*0.8)</f>
        <v/>
      </c>
      <c r="D86" s="12" t="str">
        <f>IF(B86="", "", B86*1.2)</f>
        <v/>
      </c>
      <c r="E86" s="10"/>
    </row>
    <row r="87" spans="1:5" ht="18" x14ac:dyDescent="0.35">
      <c r="A87" s="10"/>
      <c r="B87" s="11"/>
      <c r="C87" s="12" t="str">
        <f>IF(B87="", "", B87*0.8)</f>
        <v/>
      </c>
      <c r="D87" s="12" t="str">
        <f>IF(B87="", "", B87*1.2)</f>
        <v/>
      </c>
      <c r="E87" s="10"/>
    </row>
    <row r="88" spans="1:5" ht="18" x14ac:dyDescent="0.35">
      <c r="A88" s="10"/>
      <c r="B88" s="11"/>
      <c r="C88" s="12" t="str">
        <f>IF(B88="", "", B88*0.8)</f>
        <v/>
      </c>
      <c r="D88" s="12" t="str">
        <f>IF(B88="", "", B88*1.2)</f>
        <v/>
      </c>
      <c r="E88" s="10"/>
    </row>
    <row r="89" spans="1:5" ht="18" x14ac:dyDescent="0.35">
      <c r="A89" s="10"/>
      <c r="B89" s="11"/>
      <c r="C89" s="12" t="str">
        <f>IF(B89="", "", B89*0.8)</f>
        <v/>
      </c>
      <c r="D89" s="12" t="str">
        <f>IF(B89="", "", B89*1.2)</f>
        <v/>
      </c>
      <c r="E89" s="10"/>
    </row>
    <row r="90" spans="1:5" ht="18" x14ac:dyDescent="0.35">
      <c r="A90" s="10"/>
      <c r="B90" s="11"/>
      <c r="C90" s="12" t="str">
        <f>IF(B90="", "", B90*0.8)</f>
        <v/>
      </c>
      <c r="D90" s="12" t="str">
        <f>IF(B90="", "", B90*1.2)</f>
        <v/>
      </c>
      <c r="E90" s="10"/>
    </row>
    <row r="91" spans="1:5" ht="18" x14ac:dyDescent="0.35">
      <c r="A91" s="10"/>
      <c r="B91" s="11"/>
      <c r="C91" s="12" t="str">
        <f>IF(B91="", "", B91*0.8)</f>
        <v/>
      </c>
      <c r="D91" s="12" t="str">
        <f>IF(B91="", "", B91*1.2)</f>
        <v/>
      </c>
      <c r="E91" s="10"/>
    </row>
    <row r="92" spans="1:5" ht="18" x14ac:dyDescent="0.35">
      <c r="A92" s="10"/>
      <c r="B92" s="11"/>
      <c r="C92" s="12" t="str">
        <f>IF(B92="", "", B92*0.8)</f>
        <v/>
      </c>
      <c r="D92" s="12" t="str">
        <f>IF(B92="", "", B92*1.2)</f>
        <v/>
      </c>
      <c r="E92" s="10"/>
    </row>
    <row r="93" spans="1:5" ht="18" x14ac:dyDescent="0.35">
      <c r="A93" s="10"/>
      <c r="B93" s="11"/>
      <c r="C93" s="12" t="str">
        <f>IF(B93="", "", B93*0.8)</f>
        <v/>
      </c>
      <c r="D93" s="12" t="str">
        <f>IF(B93="", "", B93*1.2)</f>
        <v/>
      </c>
      <c r="E93" s="10"/>
    </row>
    <row r="94" spans="1:5" ht="18" x14ac:dyDescent="0.35">
      <c r="A94" s="10"/>
      <c r="B94" s="11"/>
      <c r="C94" s="12" t="str">
        <f>IF(B94="", "", B94*0.8)</f>
        <v/>
      </c>
      <c r="D94" s="12" t="str">
        <f>IF(B94="", "", B94*1.2)</f>
        <v/>
      </c>
      <c r="E94" s="10"/>
    </row>
    <row r="95" spans="1:5" ht="18" x14ac:dyDescent="0.35">
      <c r="A95" s="10"/>
      <c r="B95" s="11"/>
      <c r="C95" s="12" t="str">
        <f>IF(B95="", "", B95*0.8)</f>
        <v/>
      </c>
      <c r="D95" s="12" t="str">
        <f>IF(B95="", "", B95*1.2)</f>
        <v/>
      </c>
      <c r="E95" s="10"/>
    </row>
    <row r="96" spans="1:5" ht="18" x14ac:dyDescent="0.35">
      <c r="A96" s="10"/>
      <c r="B96" s="11"/>
      <c r="C96" s="12" t="str">
        <f>IF(B96="", "", B96*0.8)</f>
        <v/>
      </c>
      <c r="D96" s="12" t="str">
        <f>IF(B96="", "", B96*1.2)</f>
        <v/>
      </c>
      <c r="E96" s="10"/>
    </row>
    <row r="97" spans="1:5" ht="18" x14ac:dyDescent="0.35">
      <c r="A97" s="10"/>
      <c r="B97" s="11"/>
      <c r="C97" s="12" t="str">
        <f>IF(B97="", "", B97*0.8)</f>
        <v/>
      </c>
      <c r="D97" s="12" t="str">
        <f>IF(B97="", "", B97*1.2)</f>
        <v/>
      </c>
      <c r="E97" s="10"/>
    </row>
    <row r="98" spans="1:5" ht="18" x14ac:dyDescent="0.35">
      <c r="A98" s="10"/>
      <c r="B98" s="11"/>
      <c r="C98" s="12" t="str">
        <f>IF(B98="", "", B98*0.8)</f>
        <v/>
      </c>
      <c r="D98" s="12" t="str">
        <f>IF(B98="", "", B98*1.2)</f>
        <v/>
      </c>
      <c r="E98" s="10"/>
    </row>
    <row r="99" spans="1:5" ht="18" x14ac:dyDescent="0.35">
      <c r="A99" s="10"/>
      <c r="B99" s="11"/>
      <c r="C99" s="12" t="str">
        <f>IF(B99="", "", B99*0.8)</f>
        <v/>
      </c>
      <c r="D99" s="12" t="str">
        <f>IF(B99="", "", B99*1.2)</f>
        <v/>
      </c>
      <c r="E99" s="10"/>
    </row>
    <row r="100" spans="1:5" ht="18" x14ac:dyDescent="0.35">
      <c r="A100" s="10"/>
      <c r="B100" s="11"/>
      <c r="C100" s="12" t="str">
        <f>IF(B100="", "", B100*0.8)</f>
        <v/>
      </c>
      <c r="D100" s="12" t="str">
        <f>IF(B100="", "", B100*1.2)</f>
        <v/>
      </c>
      <c r="E100" s="10"/>
    </row>
  </sheetData>
  <sheetProtection algorithmName="SHA-512" hashValue="lcgrNrPBgZbCdYiKoIIFhR3axN7yMJ0YSpHIKFejtV5iaK+YT9arvCe+OjSAo5VUgQVpq15ZFXjea8yMZJMxWw==" saltValue="Hoe/+mLB0/3q13hVYfJdYA==" spinCount="100000" sheet="1" objects="1" scenarios="1" autoFilter="0"/>
  <protectedRanges>
    <protectedRange sqref="A2:B100" name="範圍1"/>
    <protectedRange sqref="E2:E100" name="備註"/>
  </protectedRanges>
  <autoFilter ref="A1:E100" xr:uid="{00000000-0009-0000-0000-000001000000}">
    <sortState xmlns:xlrd2="http://schemas.microsoft.com/office/spreadsheetml/2017/richdata2" ref="A2:E100">
      <sortCondition ref="A1:A100"/>
    </sortState>
  </autoFilter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899"/>
  <sheetViews>
    <sheetView workbookViewId="0">
      <pane ySplit="1" topLeftCell="A38" activePane="bottomLeft" state="frozen"/>
      <selection pane="bottomLeft"/>
    </sheetView>
  </sheetViews>
  <sheetFormatPr defaultRowHeight="15.75" x14ac:dyDescent="0.25"/>
  <cols>
    <col min="1" max="2" width="15.7109375" customWidth="1"/>
    <col min="3" max="3" width="29.7109375" customWidth="1"/>
    <col min="4" max="4" width="14" customWidth="1"/>
    <col min="5" max="5" width="20.42578125" style="4" customWidth="1"/>
    <col min="6" max="6" width="23.85546875" style="4" customWidth="1"/>
  </cols>
  <sheetData>
    <row r="1" spans="1:6" x14ac:dyDescent="0.25">
      <c r="A1" t="s">
        <v>87</v>
      </c>
      <c r="B1" t="s">
        <v>88</v>
      </c>
      <c r="C1" t="s">
        <v>26</v>
      </c>
      <c r="D1" t="s">
        <v>89</v>
      </c>
      <c r="E1" s="4" t="s">
        <v>90</v>
      </c>
      <c r="F1" s="4" t="s">
        <v>5</v>
      </c>
    </row>
    <row r="2" spans="1:6" ht="18" x14ac:dyDescent="0.35">
      <c r="A2" s="6" t="s">
        <v>93</v>
      </c>
      <c r="B2" s="6" t="s">
        <v>103</v>
      </c>
      <c r="C2" s="6" t="s">
        <v>104</v>
      </c>
      <c r="D2" s="2">
        <v>1</v>
      </c>
      <c r="E2" s="5">
        <f>IF(C2="", "", IFERROR(VLOOKUP(C2, Price_List!A:D, IF(Dashboard!$B$9="樂觀(Snipe)", 3, IF(Dashboard!$B$9="悲觀(Panic)", 4, 2)), 0), 0))</f>
        <v>10500000</v>
      </c>
      <c r="F2" s="5">
        <f t="shared" ref="F2:F65" si="0">IF(C2="", "", D2*E2)</f>
        <v>10500000</v>
      </c>
    </row>
    <row r="3" spans="1:6" ht="18" x14ac:dyDescent="0.35">
      <c r="A3" s="6" t="s">
        <v>93</v>
      </c>
      <c r="B3" s="6" t="s">
        <v>103</v>
      </c>
      <c r="C3" s="6" t="s">
        <v>105</v>
      </c>
      <c r="D3" s="2">
        <v>2</v>
      </c>
      <c r="E3" s="5">
        <f>IF(C3="", "", IFERROR(VLOOKUP(C3, Price_List!A:D, IF(Dashboard!$B$9="樂觀(Snipe)", 3, IF(Dashboard!$B$9="悲觀(Panic)", 4, 2)), 0), 0))</f>
        <v>560000</v>
      </c>
      <c r="F3" s="5">
        <f t="shared" si="0"/>
        <v>1120000</v>
      </c>
    </row>
    <row r="4" spans="1:6" ht="18" x14ac:dyDescent="0.35">
      <c r="A4" s="6" t="s">
        <v>93</v>
      </c>
      <c r="B4" s="6" t="s">
        <v>103</v>
      </c>
      <c r="C4" s="6" t="s">
        <v>98</v>
      </c>
      <c r="D4" s="2">
        <v>9</v>
      </c>
      <c r="E4" s="5">
        <f>IF(C4="", "", IFERROR(VLOOKUP(C4, Price_List!A:D, IF(Dashboard!$B$9="樂觀(Snipe)", 3, IF(Dashboard!$B$9="悲觀(Panic)", 4, 2)), 0), 0))</f>
        <v>1700</v>
      </c>
      <c r="F4" s="5">
        <f t="shared" si="0"/>
        <v>15300</v>
      </c>
    </row>
    <row r="5" spans="1:6" ht="18" x14ac:dyDescent="0.35">
      <c r="A5" s="6" t="s">
        <v>93</v>
      </c>
      <c r="B5" s="6" t="s">
        <v>103</v>
      </c>
      <c r="C5" s="6" t="s">
        <v>106</v>
      </c>
      <c r="D5" s="2">
        <v>4</v>
      </c>
      <c r="E5" s="5">
        <f>IF(C5="", "", IFERROR(VLOOKUP(C5, Price_List!A:D, IF(Dashboard!$B$9="樂觀(Snipe)", 3, IF(Dashboard!$B$9="悲觀(Panic)", 4, 2)), 0), 0))</f>
        <v>2199999</v>
      </c>
      <c r="F5" s="5">
        <f t="shared" si="0"/>
        <v>8799996</v>
      </c>
    </row>
    <row r="6" spans="1:6" ht="18" x14ac:dyDescent="0.35">
      <c r="A6" s="6" t="s">
        <v>93</v>
      </c>
      <c r="B6" s="6" t="s">
        <v>103</v>
      </c>
      <c r="C6" s="6" t="s">
        <v>107</v>
      </c>
      <c r="D6" s="2">
        <v>5</v>
      </c>
      <c r="E6" s="5">
        <f>IF(C6="", "", IFERROR(VLOOKUP(C6, Price_List!A:D, IF(Dashboard!$B$9="樂觀(Snipe)", 3, IF(Dashboard!$B$9="悲觀(Panic)", 4, 2)), 0), 0))</f>
        <v>205000</v>
      </c>
      <c r="F6" s="5">
        <f t="shared" si="0"/>
        <v>1025000</v>
      </c>
    </row>
    <row r="7" spans="1:6" ht="18" x14ac:dyDescent="0.35">
      <c r="A7" s="6" t="s">
        <v>93</v>
      </c>
      <c r="B7" s="6" t="s">
        <v>103</v>
      </c>
      <c r="C7" s="6" t="s">
        <v>108</v>
      </c>
      <c r="D7" s="2">
        <v>3</v>
      </c>
      <c r="E7" s="5">
        <f>IF(C7="", "", IFERROR(VLOOKUP(C7, Price_List!A:D, IF(Dashboard!$B$9="樂觀(Snipe)", 3, IF(Dashboard!$B$9="悲觀(Panic)", 4, 2)), 0), 0))</f>
        <v>189998</v>
      </c>
      <c r="F7" s="5">
        <f t="shared" si="0"/>
        <v>569994</v>
      </c>
    </row>
    <row r="8" spans="1:6" ht="18" x14ac:dyDescent="0.35">
      <c r="A8" s="6" t="s">
        <v>93</v>
      </c>
      <c r="B8" s="6" t="s">
        <v>112</v>
      </c>
      <c r="C8" s="6" t="s">
        <v>117</v>
      </c>
      <c r="D8" s="2">
        <v>1</v>
      </c>
      <c r="E8" s="5">
        <f>IF(C8="", "", IFERROR(VLOOKUP(C8, Price_List!A:D, IF(Dashboard!$B$9="樂觀(Snipe)", 3, IF(Dashboard!$B$9="悲觀(Panic)", 4, 2)), 0), 0))</f>
        <v>10101008</v>
      </c>
      <c r="F8" s="5">
        <f t="shared" si="0"/>
        <v>10101008</v>
      </c>
    </row>
    <row r="9" spans="1:6" ht="18" x14ac:dyDescent="0.35">
      <c r="A9" s="6" t="s">
        <v>93</v>
      </c>
      <c r="B9" s="6" t="s">
        <v>112</v>
      </c>
      <c r="C9" s="6" t="s">
        <v>105</v>
      </c>
      <c r="D9" s="2">
        <v>2</v>
      </c>
      <c r="E9" s="5">
        <f>IF(C9="", "", IFERROR(VLOOKUP(C9, Price_List!A:D, IF(Dashboard!$B$9="樂觀(Snipe)", 3, IF(Dashboard!$B$9="悲觀(Panic)", 4, 2)), 0), 0))</f>
        <v>560000</v>
      </c>
      <c r="F9" s="5">
        <f t="shared" si="0"/>
        <v>1120000</v>
      </c>
    </row>
    <row r="10" spans="1:6" ht="18" x14ac:dyDescent="0.35">
      <c r="A10" s="6" t="s">
        <v>93</v>
      </c>
      <c r="B10" s="6" t="s">
        <v>112</v>
      </c>
      <c r="C10" s="6" t="s">
        <v>98</v>
      </c>
      <c r="D10" s="2">
        <v>11</v>
      </c>
      <c r="E10" s="5">
        <f>IF(C10="", "", IFERROR(VLOOKUP(C10, Price_List!A:D, IF(Dashboard!$B$9="樂觀(Snipe)", 3, IF(Dashboard!$B$9="悲觀(Panic)", 4, 2)), 0), 0))</f>
        <v>1700</v>
      </c>
      <c r="F10" s="5">
        <f t="shared" si="0"/>
        <v>18700</v>
      </c>
    </row>
    <row r="11" spans="1:6" ht="18" x14ac:dyDescent="0.35">
      <c r="A11" s="6" t="s">
        <v>93</v>
      </c>
      <c r="B11" s="6" t="s">
        <v>112</v>
      </c>
      <c r="C11" s="6" t="s">
        <v>106</v>
      </c>
      <c r="D11" s="2">
        <v>5</v>
      </c>
      <c r="E11" s="5">
        <f>IF(C11="", "", IFERROR(VLOOKUP(C11, Price_List!A:D, IF(Dashboard!$B$9="樂觀(Snipe)", 3, IF(Dashboard!$B$9="悲觀(Panic)", 4, 2)), 0), 0))</f>
        <v>2199999</v>
      </c>
      <c r="F11" s="5">
        <f t="shared" si="0"/>
        <v>10999995</v>
      </c>
    </row>
    <row r="12" spans="1:6" ht="18" x14ac:dyDescent="0.35">
      <c r="A12" s="6" t="s">
        <v>93</v>
      </c>
      <c r="B12" s="6" t="s">
        <v>112</v>
      </c>
      <c r="C12" s="6" t="s">
        <v>107</v>
      </c>
      <c r="D12" s="2">
        <v>6</v>
      </c>
      <c r="E12" s="5">
        <f>IF(C12="", "", IFERROR(VLOOKUP(C12, Price_List!A:D, IF(Dashboard!$B$9="樂觀(Snipe)", 3, IF(Dashboard!$B$9="悲觀(Panic)", 4, 2)), 0), 0))</f>
        <v>205000</v>
      </c>
      <c r="F12" s="5">
        <f t="shared" si="0"/>
        <v>1230000</v>
      </c>
    </row>
    <row r="13" spans="1:6" ht="18" x14ac:dyDescent="0.35">
      <c r="A13" s="6" t="s">
        <v>93</v>
      </c>
      <c r="B13" s="6" t="s">
        <v>112</v>
      </c>
      <c r="C13" s="6" t="s">
        <v>108</v>
      </c>
      <c r="D13" s="2">
        <v>4</v>
      </c>
      <c r="E13" s="5">
        <f>IF(C13="", "", IFERROR(VLOOKUP(C13, Price_List!A:D, IF(Dashboard!$B$9="樂觀(Snipe)", 3, IF(Dashboard!$B$9="悲觀(Panic)", 4, 2)), 0), 0))</f>
        <v>189998</v>
      </c>
      <c r="F13" s="5">
        <f t="shared" si="0"/>
        <v>759992</v>
      </c>
    </row>
    <row r="14" spans="1:6" ht="18" x14ac:dyDescent="0.35">
      <c r="A14" s="6" t="s">
        <v>93</v>
      </c>
      <c r="B14" s="6" t="s">
        <v>111</v>
      </c>
      <c r="C14" s="6" t="s">
        <v>116</v>
      </c>
      <c r="D14" s="2">
        <v>1</v>
      </c>
      <c r="E14" s="5">
        <f>IF(C14="", "", IFERROR(VLOOKUP(C14, Price_List!A:D, IF(Dashboard!$B$9="樂觀(Snipe)", 3, IF(Dashboard!$B$9="悲觀(Panic)", 4, 2)), 0), 0))</f>
        <v>12000000</v>
      </c>
      <c r="F14" s="5">
        <f t="shared" si="0"/>
        <v>12000000</v>
      </c>
    </row>
    <row r="15" spans="1:6" ht="18" x14ac:dyDescent="0.35">
      <c r="A15" s="6" t="s">
        <v>93</v>
      </c>
      <c r="B15" s="6" t="s">
        <v>111</v>
      </c>
      <c r="C15" s="6" t="s">
        <v>105</v>
      </c>
      <c r="D15" s="2">
        <v>3</v>
      </c>
      <c r="E15" s="5">
        <f>IF(C15="", "", IFERROR(VLOOKUP(C15, Price_List!A:D, IF(Dashboard!$B$9="樂觀(Snipe)", 3, IF(Dashboard!$B$9="悲觀(Panic)", 4, 2)), 0), 0))</f>
        <v>560000</v>
      </c>
      <c r="F15" s="5">
        <f t="shared" si="0"/>
        <v>1680000</v>
      </c>
    </row>
    <row r="16" spans="1:6" ht="18" x14ac:dyDescent="0.35">
      <c r="A16" s="6" t="s">
        <v>93</v>
      </c>
      <c r="B16" s="6" t="s">
        <v>111</v>
      </c>
      <c r="C16" s="6" t="s">
        <v>98</v>
      </c>
      <c r="D16" s="2">
        <v>15</v>
      </c>
      <c r="E16" s="5">
        <f>IF(C16="", "", IFERROR(VLOOKUP(C16, Price_List!A:D, IF(Dashboard!$B$9="樂觀(Snipe)", 3, IF(Dashboard!$B$9="悲觀(Panic)", 4, 2)), 0), 0))</f>
        <v>1700</v>
      </c>
      <c r="F16" s="5">
        <f t="shared" si="0"/>
        <v>25500</v>
      </c>
    </row>
    <row r="17" spans="1:6" ht="18" x14ac:dyDescent="0.35">
      <c r="A17" s="6" t="s">
        <v>93</v>
      </c>
      <c r="B17" s="6" t="s">
        <v>111</v>
      </c>
      <c r="C17" s="6" t="s">
        <v>106</v>
      </c>
      <c r="D17" s="2">
        <v>7</v>
      </c>
      <c r="E17" s="5">
        <f>IF(C17="", "", IFERROR(VLOOKUP(C17, Price_List!A:D, IF(Dashboard!$B$9="樂觀(Snipe)", 3, IF(Dashboard!$B$9="悲觀(Panic)", 4, 2)), 0), 0))</f>
        <v>2199999</v>
      </c>
      <c r="F17" s="5">
        <f t="shared" si="0"/>
        <v>15399993</v>
      </c>
    </row>
    <row r="18" spans="1:6" ht="18" x14ac:dyDescent="0.35">
      <c r="A18" s="6" t="s">
        <v>93</v>
      </c>
      <c r="B18" s="6" t="s">
        <v>111</v>
      </c>
      <c r="C18" s="6" t="s">
        <v>107</v>
      </c>
      <c r="D18" s="2">
        <v>8</v>
      </c>
      <c r="E18" s="5">
        <f>IF(C18="", "", IFERROR(VLOOKUP(C18, Price_List!A:D, IF(Dashboard!$B$9="樂觀(Snipe)", 3, IF(Dashboard!$B$9="悲觀(Panic)", 4, 2)), 0), 0))</f>
        <v>205000</v>
      </c>
      <c r="F18" s="5">
        <f t="shared" si="0"/>
        <v>1640000</v>
      </c>
    </row>
    <row r="19" spans="1:6" ht="18" x14ac:dyDescent="0.35">
      <c r="A19" s="6" t="s">
        <v>93</v>
      </c>
      <c r="B19" s="6" t="s">
        <v>111</v>
      </c>
      <c r="C19" s="6" t="s">
        <v>108</v>
      </c>
      <c r="D19" s="2">
        <v>5</v>
      </c>
      <c r="E19" s="5">
        <f>IF(C19="", "", IFERROR(VLOOKUP(C19, Price_List!A:D, IF(Dashboard!$B$9="樂觀(Snipe)", 3, IF(Dashboard!$B$9="悲觀(Panic)", 4, 2)), 0), 0))</f>
        <v>189998</v>
      </c>
      <c r="F19" s="5">
        <f t="shared" si="0"/>
        <v>949990</v>
      </c>
    </row>
    <row r="20" spans="1:6" ht="18" x14ac:dyDescent="0.35">
      <c r="A20" s="6" t="s">
        <v>93</v>
      </c>
      <c r="B20" s="6" t="s">
        <v>114</v>
      </c>
      <c r="C20" s="6" t="s">
        <v>119</v>
      </c>
      <c r="D20" s="2">
        <v>1</v>
      </c>
      <c r="E20" s="5">
        <f>IF(C20="", "", IFERROR(VLOOKUP(C20, Price_List!A:D, IF(Dashboard!$B$9="樂觀(Snipe)", 3, IF(Dashboard!$B$9="悲觀(Panic)", 4, 2)), 0), 0))</f>
        <v>10400000</v>
      </c>
      <c r="F20" s="5">
        <f t="shared" si="0"/>
        <v>10400000</v>
      </c>
    </row>
    <row r="21" spans="1:6" ht="18" x14ac:dyDescent="0.35">
      <c r="A21" s="6" t="s">
        <v>93</v>
      </c>
      <c r="B21" s="6" t="s">
        <v>114</v>
      </c>
      <c r="C21" s="6" t="s">
        <v>105</v>
      </c>
      <c r="D21" s="2">
        <v>3</v>
      </c>
      <c r="E21" s="5">
        <f>IF(C21="", "", IFERROR(VLOOKUP(C21, Price_List!A:D, IF(Dashboard!$B$9="樂觀(Snipe)", 3, IF(Dashboard!$B$9="悲觀(Panic)", 4, 2)), 0), 0))</f>
        <v>560000</v>
      </c>
      <c r="F21" s="5">
        <f t="shared" si="0"/>
        <v>1680000</v>
      </c>
    </row>
    <row r="22" spans="1:6" ht="18" x14ac:dyDescent="0.35">
      <c r="A22" s="6" t="s">
        <v>93</v>
      </c>
      <c r="B22" s="6" t="s">
        <v>114</v>
      </c>
      <c r="C22" s="6" t="s">
        <v>98</v>
      </c>
      <c r="D22" s="2">
        <v>9</v>
      </c>
      <c r="E22" s="5">
        <f>IF(C22="", "", IFERROR(VLOOKUP(C22, Price_List!A:D, IF(Dashboard!$B$9="樂觀(Snipe)", 3, IF(Dashboard!$B$9="悲觀(Panic)", 4, 2)), 0), 0))</f>
        <v>1700</v>
      </c>
      <c r="F22" s="5">
        <f t="shared" si="0"/>
        <v>15300</v>
      </c>
    </row>
    <row r="23" spans="1:6" ht="18" x14ac:dyDescent="0.35">
      <c r="A23" s="6" t="s">
        <v>93</v>
      </c>
      <c r="B23" s="6" t="s">
        <v>114</v>
      </c>
      <c r="C23" s="6" t="s">
        <v>106</v>
      </c>
      <c r="D23" s="2">
        <v>4</v>
      </c>
      <c r="E23" s="5">
        <f>IF(C23="", "", IFERROR(VLOOKUP(C23, Price_List!A:D, IF(Dashboard!$B$9="樂觀(Snipe)", 3, IF(Dashboard!$B$9="悲觀(Panic)", 4, 2)), 0), 0))</f>
        <v>2199999</v>
      </c>
      <c r="F23" s="5">
        <f t="shared" si="0"/>
        <v>8799996</v>
      </c>
    </row>
    <row r="24" spans="1:6" ht="18" x14ac:dyDescent="0.35">
      <c r="A24" s="6" t="s">
        <v>93</v>
      </c>
      <c r="B24" s="6" t="s">
        <v>114</v>
      </c>
      <c r="C24" s="6" t="s">
        <v>107</v>
      </c>
      <c r="D24" s="2">
        <v>5</v>
      </c>
      <c r="E24" s="5">
        <f>IF(C24="", "", IFERROR(VLOOKUP(C24, Price_List!A:D, IF(Dashboard!$B$9="樂觀(Snipe)", 3, IF(Dashboard!$B$9="悲觀(Panic)", 4, 2)), 0), 0))</f>
        <v>205000</v>
      </c>
      <c r="F24" s="5">
        <f t="shared" si="0"/>
        <v>1025000</v>
      </c>
    </row>
    <row r="25" spans="1:6" ht="18" x14ac:dyDescent="0.35">
      <c r="A25" s="6" t="s">
        <v>93</v>
      </c>
      <c r="B25" s="6" t="s">
        <v>114</v>
      </c>
      <c r="C25" s="6" t="s">
        <v>108</v>
      </c>
      <c r="D25" s="2">
        <v>3</v>
      </c>
      <c r="E25" s="5">
        <f>IF(C25="", "", IFERROR(VLOOKUP(C25, Price_List!A:D, IF(Dashboard!$B$9="樂觀(Snipe)", 3, IF(Dashboard!$B$9="悲觀(Panic)", 4, 2)), 0), 0))</f>
        <v>189998</v>
      </c>
      <c r="F25" s="5">
        <f t="shared" si="0"/>
        <v>569994</v>
      </c>
    </row>
    <row r="26" spans="1:6" ht="18" x14ac:dyDescent="0.35">
      <c r="A26" s="6" t="s">
        <v>93</v>
      </c>
      <c r="B26" s="6" t="s">
        <v>109</v>
      </c>
      <c r="C26" s="6" t="s">
        <v>110</v>
      </c>
      <c r="D26" s="2">
        <v>1</v>
      </c>
      <c r="E26" s="5">
        <f>IF(C26="", "", IFERROR(VLOOKUP(C26, Price_List!A:D, IF(Dashboard!$B$9="樂觀(Snipe)", 3, IF(Dashboard!$B$9="悲觀(Panic)", 4, 2)), 0), 0))</f>
        <v>9999999</v>
      </c>
      <c r="F26" s="5">
        <f t="shared" si="0"/>
        <v>9999999</v>
      </c>
    </row>
    <row r="27" spans="1:6" ht="18" x14ac:dyDescent="0.35">
      <c r="A27" s="6" t="s">
        <v>93</v>
      </c>
      <c r="B27" s="6" t="s">
        <v>109</v>
      </c>
      <c r="C27" s="6" t="s">
        <v>105</v>
      </c>
      <c r="D27" s="2">
        <v>2</v>
      </c>
      <c r="E27" s="5">
        <f>IF(C27="", "", IFERROR(VLOOKUP(C27, Price_List!A:D, IF(Dashboard!$B$9="樂觀(Snipe)", 3, IF(Dashboard!$B$9="悲觀(Panic)", 4, 2)), 0), 0))</f>
        <v>560000</v>
      </c>
      <c r="F27" s="5">
        <f t="shared" si="0"/>
        <v>1120000</v>
      </c>
    </row>
    <row r="28" spans="1:6" ht="18" x14ac:dyDescent="0.35">
      <c r="A28" s="6" t="s">
        <v>93</v>
      </c>
      <c r="B28" s="6" t="s">
        <v>109</v>
      </c>
      <c r="C28" s="6" t="s">
        <v>98</v>
      </c>
      <c r="D28" s="2">
        <v>9</v>
      </c>
      <c r="E28" s="5">
        <f>IF(C28="", "", IFERROR(VLOOKUP(C28, Price_List!A:D, IF(Dashboard!$B$9="樂觀(Snipe)", 3, IF(Dashboard!$B$9="悲觀(Panic)", 4, 2)), 0), 0))</f>
        <v>1700</v>
      </c>
      <c r="F28" s="5">
        <f t="shared" si="0"/>
        <v>15300</v>
      </c>
    </row>
    <row r="29" spans="1:6" ht="18" x14ac:dyDescent="0.35">
      <c r="A29" s="6" t="s">
        <v>93</v>
      </c>
      <c r="B29" s="6" t="s">
        <v>109</v>
      </c>
      <c r="C29" s="6" t="s">
        <v>106</v>
      </c>
      <c r="D29" s="2">
        <v>4</v>
      </c>
      <c r="E29" s="5">
        <f>IF(C29="", "", IFERROR(VLOOKUP(C29, Price_List!A:D, IF(Dashboard!$B$9="樂觀(Snipe)", 3, IF(Dashboard!$B$9="悲觀(Panic)", 4, 2)), 0), 0))</f>
        <v>2199999</v>
      </c>
      <c r="F29" s="5">
        <f t="shared" si="0"/>
        <v>8799996</v>
      </c>
    </row>
    <row r="30" spans="1:6" ht="18" x14ac:dyDescent="0.35">
      <c r="A30" s="6" t="s">
        <v>93</v>
      </c>
      <c r="B30" s="6" t="s">
        <v>109</v>
      </c>
      <c r="C30" s="6" t="s">
        <v>107</v>
      </c>
      <c r="D30" s="2">
        <v>5</v>
      </c>
      <c r="E30" s="5">
        <f>IF(C30="", "", IFERROR(VLOOKUP(C30, Price_List!A:D, IF(Dashboard!$B$9="樂觀(Snipe)", 3, IF(Dashboard!$B$9="悲觀(Panic)", 4, 2)), 0), 0))</f>
        <v>205000</v>
      </c>
      <c r="F30" s="5">
        <f t="shared" si="0"/>
        <v>1025000</v>
      </c>
    </row>
    <row r="31" spans="1:6" ht="18" x14ac:dyDescent="0.35">
      <c r="A31" s="6" t="s">
        <v>93</v>
      </c>
      <c r="B31" s="6" t="s">
        <v>109</v>
      </c>
      <c r="C31" s="6" t="s">
        <v>108</v>
      </c>
      <c r="D31" s="2">
        <v>3</v>
      </c>
      <c r="E31" s="5">
        <f>IF(C31="", "", IFERROR(VLOOKUP(C31, Price_List!A:D, IF(Dashboard!$B$9="樂觀(Snipe)", 3, IF(Dashboard!$B$9="悲觀(Panic)", 4, 2)), 0), 0))</f>
        <v>189998</v>
      </c>
      <c r="F31" s="5">
        <f t="shared" si="0"/>
        <v>569994</v>
      </c>
    </row>
    <row r="32" spans="1:6" ht="18" x14ac:dyDescent="0.35">
      <c r="A32" s="6" t="s">
        <v>93</v>
      </c>
      <c r="B32" s="6" t="s">
        <v>115</v>
      </c>
      <c r="C32" s="6" t="s">
        <v>120</v>
      </c>
      <c r="D32" s="2">
        <v>1</v>
      </c>
      <c r="E32" s="5">
        <f>IF(C32="", "", IFERROR(VLOOKUP(C32, Price_List!A:D, IF(Dashboard!$B$9="樂觀(Snipe)", 3, IF(Dashboard!$B$9="悲觀(Panic)", 4, 2)), 0), 0))</f>
        <v>10500000</v>
      </c>
      <c r="F32" s="5">
        <f t="shared" si="0"/>
        <v>10500000</v>
      </c>
    </row>
    <row r="33" spans="1:6" ht="18" x14ac:dyDescent="0.35">
      <c r="A33" s="6" t="s">
        <v>93</v>
      </c>
      <c r="B33" s="6" t="s">
        <v>115</v>
      </c>
      <c r="C33" s="6" t="s">
        <v>105</v>
      </c>
      <c r="D33" s="2">
        <v>2</v>
      </c>
      <c r="E33" s="5">
        <f>IF(C33="", "", IFERROR(VLOOKUP(C33, Price_List!A:D, IF(Dashboard!$B$9="樂觀(Snipe)", 3, IF(Dashboard!$B$9="悲觀(Panic)", 4, 2)), 0), 0))</f>
        <v>560000</v>
      </c>
      <c r="F33" s="5">
        <f t="shared" si="0"/>
        <v>1120000</v>
      </c>
    </row>
    <row r="34" spans="1:6" ht="18" x14ac:dyDescent="0.35">
      <c r="A34" s="6" t="s">
        <v>93</v>
      </c>
      <c r="B34" s="6" t="s">
        <v>115</v>
      </c>
      <c r="C34" s="6" t="s">
        <v>98</v>
      </c>
      <c r="D34" s="2">
        <v>7</v>
      </c>
      <c r="E34" s="5">
        <f>IF(C34="", "", IFERROR(VLOOKUP(C34, Price_List!A:D, IF(Dashboard!$B$9="樂觀(Snipe)", 3, IF(Dashboard!$B$9="悲觀(Panic)", 4, 2)), 0), 0))</f>
        <v>1700</v>
      </c>
      <c r="F34" s="5">
        <f t="shared" si="0"/>
        <v>11900</v>
      </c>
    </row>
    <row r="35" spans="1:6" ht="18" x14ac:dyDescent="0.35">
      <c r="A35" s="6" t="s">
        <v>93</v>
      </c>
      <c r="B35" s="6" t="s">
        <v>115</v>
      </c>
      <c r="C35" s="6" t="s">
        <v>106</v>
      </c>
      <c r="D35" s="2">
        <v>3</v>
      </c>
      <c r="E35" s="5">
        <f>IF(C35="", "", IFERROR(VLOOKUP(C35, Price_List!A:D, IF(Dashboard!$B$9="樂觀(Snipe)", 3, IF(Dashboard!$B$9="悲觀(Panic)", 4, 2)), 0), 0))</f>
        <v>2199999</v>
      </c>
      <c r="F35" s="5">
        <f t="shared" si="0"/>
        <v>6599997</v>
      </c>
    </row>
    <row r="36" spans="1:6" ht="18" x14ac:dyDescent="0.35">
      <c r="A36" s="6" t="s">
        <v>93</v>
      </c>
      <c r="B36" s="6" t="s">
        <v>115</v>
      </c>
      <c r="C36" s="6" t="s">
        <v>107</v>
      </c>
      <c r="D36" s="2">
        <v>4</v>
      </c>
      <c r="E36" s="5">
        <f>IF(C36="", "", IFERROR(VLOOKUP(C36, Price_List!A:D, IF(Dashboard!$B$9="樂觀(Snipe)", 3, IF(Dashboard!$B$9="悲觀(Panic)", 4, 2)), 0), 0))</f>
        <v>205000</v>
      </c>
      <c r="F36" s="5">
        <f t="shared" si="0"/>
        <v>820000</v>
      </c>
    </row>
    <row r="37" spans="1:6" ht="18" x14ac:dyDescent="0.35">
      <c r="A37" s="6" t="s">
        <v>93</v>
      </c>
      <c r="B37" s="6" t="s">
        <v>115</v>
      </c>
      <c r="C37" s="6" t="s">
        <v>108</v>
      </c>
      <c r="D37" s="2">
        <v>2</v>
      </c>
      <c r="E37" s="5">
        <f>IF(C37="", "", IFERROR(VLOOKUP(C37, Price_List!A:D, IF(Dashboard!$B$9="樂觀(Snipe)", 3, IF(Dashboard!$B$9="悲觀(Panic)", 4, 2)), 0), 0))</f>
        <v>189998</v>
      </c>
      <c r="F37" s="5">
        <f t="shared" si="0"/>
        <v>379996</v>
      </c>
    </row>
    <row r="38" spans="1:6" ht="18" x14ac:dyDescent="0.35">
      <c r="A38" s="6" t="s">
        <v>93</v>
      </c>
      <c r="B38" s="6" t="s">
        <v>113</v>
      </c>
      <c r="C38" s="6" t="s">
        <v>118</v>
      </c>
      <c r="D38" s="2">
        <v>1</v>
      </c>
      <c r="E38" s="5">
        <f>IF(C38="", "", IFERROR(VLOOKUP(C38, Price_List!A:D, IF(Dashboard!$B$9="樂觀(Snipe)", 3, IF(Dashboard!$B$9="悲觀(Panic)", 4, 2)), 0), 0))</f>
        <v>8222222</v>
      </c>
      <c r="F38" s="5">
        <f t="shared" si="0"/>
        <v>8222222</v>
      </c>
    </row>
    <row r="39" spans="1:6" ht="18" x14ac:dyDescent="0.35">
      <c r="A39" s="6" t="s">
        <v>93</v>
      </c>
      <c r="B39" s="6" t="s">
        <v>113</v>
      </c>
      <c r="C39" s="6" t="s">
        <v>105</v>
      </c>
      <c r="D39" s="2">
        <v>2</v>
      </c>
      <c r="E39" s="5">
        <f>IF(C39="", "", IFERROR(VLOOKUP(C39, Price_List!A:D, IF(Dashboard!$B$9="樂觀(Snipe)", 3, IF(Dashboard!$B$9="悲觀(Panic)", 4, 2)), 0), 0))</f>
        <v>560000</v>
      </c>
      <c r="F39" s="5">
        <f t="shared" si="0"/>
        <v>1120000</v>
      </c>
    </row>
    <row r="40" spans="1:6" ht="18" x14ac:dyDescent="0.35">
      <c r="A40" s="6" t="s">
        <v>93</v>
      </c>
      <c r="B40" s="6" t="s">
        <v>113</v>
      </c>
      <c r="C40" s="6" t="s">
        <v>98</v>
      </c>
      <c r="D40" s="2">
        <v>7</v>
      </c>
      <c r="E40" s="5">
        <f>IF(C40="", "", IFERROR(VLOOKUP(C40, Price_List!A:D, IF(Dashboard!$B$9="樂觀(Snipe)", 3, IF(Dashboard!$B$9="悲觀(Panic)", 4, 2)), 0), 0))</f>
        <v>1700</v>
      </c>
      <c r="F40" s="5">
        <f t="shared" si="0"/>
        <v>11900</v>
      </c>
    </row>
    <row r="41" spans="1:6" ht="18" x14ac:dyDescent="0.35">
      <c r="A41" s="6" t="s">
        <v>93</v>
      </c>
      <c r="B41" s="6" t="s">
        <v>113</v>
      </c>
      <c r="C41" s="6" t="s">
        <v>106</v>
      </c>
      <c r="D41" s="2">
        <v>3</v>
      </c>
      <c r="E41" s="5">
        <f>IF(C41="", "", IFERROR(VLOOKUP(C41, Price_List!A:D, IF(Dashboard!$B$9="樂觀(Snipe)", 3, IF(Dashboard!$B$9="悲觀(Panic)", 4, 2)), 0), 0))</f>
        <v>2199999</v>
      </c>
      <c r="F41" s="5">
        <f t="shared" si="0"/>
        <v>6599997</v>
      </c>
    </row>
    <row r="42" spans="1:6" ht="18" x14ac:dyDescent="0.35">
      <c r="A42" s="6" t="s">
        <v>93</v>
      </c>
      <c r="B42" s="6" t="s">
        <v>113</v>
      </c>
      <c r="C42" s="6" t="s">
        <v>107</v>
      </c>
      <c r="D42" s="2">
        <v>4</v>
      </c>
      <c r="E42" s="5">
        <f>IF(C42="", "", IFERROR(VLOOKUP(C42, Price_List!A:D, IF(Dashboard!$B$9="樂觀(Snipe)", 3, IF(Dashboard!$B$9="悲觀(Panic)", 4, 2)), 0), 0))</f>
        <v>205000</v>
      </c>
      <c r="F42" s="5">
        <f t="shared" si="0"/>
        <v>820000</v>
      </c>
    </row>
    <row r="43" spans="1:6" ht="18" x14ac:dyDescent="0.35">
      <c r="A43" s="6" t="s">
        <v>93</v>
      </c>
      <c r="B43" s="6" t="s">
        <v>113</v>
      </c>
      <c r="C43" s="6" t="s">
        <v>108</v>
      </c>
      <c r="D43" s="2">
        <v>2</v>
      </c>
      <c r="E43" s="5">
        <f>IF(C43="", "", IFERROR(VLOOKUP(C43, Price_List!A:D, IF(Dashboard!$B$9="樂觀(Snipe)", 3, IF(Dashboard!$B$9="悲觀(Panic)", 4, 2)), 0), 0))</f>
        <v>189998</v>
      </c>
      <c r="F43" s="5">
        <f t="shared" si="0"/>
        <v>379996</v>
      </c>
    </row>
    <row r="44" spans="1:6" ht="18" x14ac:dyDescent="0.35">
      <c r="A44" s="6" t="s">
        <v>93</v>
      </c>
      <c r="B44" s="2" t="s">
        <v>50</v>
      </c>
      <c r="C44" s="6" t="s">
        <v>94</v>
      </c>
      <c r="D44" s="2">
        <v>22</v>
      </c>
      <c r="E44" s="5">
        <f>IF(C44="", "", IFERROR(VLOOKUP(C44, Price_List!A:D, IF(Dashboard!$B$9="樂觀(Snipe)", 3, IF(Dashboard!$B$9="悲觀(Panic)", 4, 2)), 0), 0))</f>
        <v>57999</v>
      </c>
      <c r="F44" s="5">
        <f t="shared" si="0"/>
        <v>1275978</v>
      </c>
    </row>
    <row r="45" spans="1:6" ht="18" x14ac:dyDescent="0.35">
      <c r="A45" s="6" t="s">
        <v>93</v>
      </c>
      <c r="B45" s="2" t="s">
        <v>50</v>
      </c>
      <c r="C45" s="2" t="s">
        <v>47</v>
      </c>
      <c r="D45" s="2">
        <v>10</v>
      </c>
      <c r="E45" s="5">
        <f>IF(C45="", "", IFERROR(VLOOKUP(C45, Price_List!A:D, IF(Dashboard!$B$9="樂觀(Snipe)", 3, IF(Dashboard!$B$9="悲觀(Panic)", 4, 2)), 0), 0))</f>
        <v>2199999</v>
      </c>
      <c r="F45" s="5">
        <f t="shared" si="0"/>
        <v>21999990</v>
      </c>
    </row>
    <row r="46" spans="1:6" ht="18" x14ac:dyDescent="0.35">
      <c r="A46" s="6" t="s">
        <v>93</v>
      </c>
      <c r="B46" s="2" t="s">
        <v>50</v>
      </c>
      <c r="C46" s="2" t="s">
        <v>55</v>
      </c>
      <c r="D46" s="2">
        <v>7</v>
      </c>
      <c r="E46" s="5">
        <f>IF(C46="", "", IFERROR(VLOOKUP(C46, Price_List!A:D, IF(Dashboard!$B$9="樂觀(Snipe)", 3, IF(Dashboard!$B$9="悲觀(Panic)", 4, 2)), 0), 0))</f>
        <v>189998</v>
      </c>
      <c r="F46" s="5">
        <f t="shared" si="0"/>
        <v>1329986</v>
      </c>
    </row>
    <row r="47" spans="1:6" ht="18" x14ac:dyDescent="0.35">
      <c r="A47" s="6" t="s">
        <v>93</v>
      </c>
      <c r="B47" s="2" t="s">
        <v>50</v>
      </c>
      <c r="C47" s="2" t="s">
        <v>61</v>
      </c>
      <c r="D47" s="2">
        <v>12</v>
      </c>
      <c r="E47" s="5">
        <f>IF(C47="", "", IFERROR(VLOOKUP(C47, Price_List!A:D, IF(Dashboard!$B$9="樂觀(Snipe)", 3, IF(Dashboard!$B$9="悲觀(Panic)", 4, 2)), 0), 0))</f>
        <v>188000</v>
      </c>
      <c r="F47" s="5">
        <f t="shared" si="0"/>
        <v>2256000</v>
      </c>
    </row>
    <row r="48" spans="1:6" ht="18" x14ac:dyDescent="0.35">
      <c r="A48" s="6" t="s">
        <v>93</v>
      </c>
      <c r="B48" s="2" t="s">
        <v>50</v>
      </c>
      <c r="C48" s="2" t="s">
        <v>67</v>
      </c>
      <c r="D48" s="2">
        <v>5</v>
      </c>
      <c r="E48" s="5">
        <f>IF(C48="", "", IFERROR(VLOOKUP(C48, Price_List!A:D, IF(Dashboard!$B$9="樂觀(Snipe)", 3, IF(Dashboard!$B$9="悲觀(Panic)", 4, 2)), 0), 0))</f>
        <v>560000</v>
      </c>
      <c r="F48" s="5">
        <f t="shared" si="0"/>
        <v>2800000</v>
      </c>
    </row>
    <row r="49" spans="1:6" ht="18" x14ac:dyDescent="0.35">
      <c r="A49" s="6" t="s">
        <v>93</v>
      </c>
      <c r="B49" s="2" t="s">
        <v>50</v>
      </c>
      <c r="C49" s="2" t="s">
        <v>83</v>
      </c>
      <c r="D49" s="2">
        <v>1</v>
      </c>
      <c r="E49" s="5">
        <f>IF(C49="", "", IFERROR(VLOOKUP(C49, Price_List!A:D, IF(Dashboard!$B$9="樂觀(Snipe)", 3, IF(Dashboard!$B$9="悲觀(Panic)", 4, 2)), 0), 0))</f>
        <v>3300088</v>
      </c>
      <c r="F49" s="5">
        <f t="shared" si="0"/>
        <v>3300088</v>
      </c>
    </row>
    <row r="50" spans="1:6" ht="18" x14ac:dyDescent="0.35">
      <c r="A50" s="6" t="s">
        <v>93</v>
      </c>
      <c r="B50" s="6" t="s">
        <v>139</v>
      </c>
      <c r="C50" s="6" t="s">
        <v>94</v>
      </c>
      <c r="D50" s="2">
        <v>22</v>
      </c>
      <c r="E50" s="5">
        <f>IF(C50="", "", IFERROR(VLOOKUP(C50, Price_List!A:D, IF(Dashboard!$B$9="樂觀(Snipe)", 3, IF(Dashboard!$B$9="悲觀(Panic)", 4, 2)), 0), 0))</f>
        <v>57999</v>
      </c>
      <c r="F50" s="5">
        <f t="shared" si="0"/>
        <v>1275978</v>
      </c>
    </row>
    <row r="51" spans="1:6" ht="18" x14ac:dyDescent="0.35">
      <c r="A51" s="6" t="s">
        <v>93</v>
      </c>
      <c r="B51" s="6" t="s">
        <v>139</v>
      </c>
      <c r="C51" s="2" t="s">
        <v>47</v>
      </c>
      <c r="D51" s="2">
        <v>10</v>
      </c>
      <c r="E51" s="5">
        <f>IF(C51="", "", IFERROR(VLOOKUP(C51, Price_List!A:D, IF(Dashboard!$B$9="樂觀(Snipe)", 3, IF(Dashboard!$B$9="悲觀(Panic)", 4, 2)), 0), 0))</f>
        <v>2199999</v>
      </c>
      <c r="F51" s="5">
        <f t="shared" si="0"/>
        <v>21999990</v>
      </c>
    </row>
    <row r="52" spans="1:6" ht="18" x14ac:dyDescent="0.35">
      <c r="A52" s="6" t="s">
        <v>93</v>
      </c>
      <c r="B52" s="6" t="s">
        <v>139</v>
      </c>
      <c r="C52" s="2" t="s">
        <v>55</v>
      </c>
      <c r="D52" s="2">
        <v>7</v>
      </c>
      <c r="E52" s="5">
        <f>IF(C52="", "", IFERROR(VLOOKUP(C52, Price_List!A:D, IF(Dashboard!$B$9="樂觀(Snipe)", 3, IF(Dashboard!$B$9="悲觀(Panic)", 4, 2)), 0), 0))</f>
        <v>189998</v>
      </c>
      <c r="F52" s="5">
        <f t="shared" si="0"/>
        <v>1329986</v>
      </c>
    </row>
    <row r="53" spans="1:6" ht="18" x14ac:dyDescent="0.35">
      <c r="A53" s="6" t="s">
        <v>93</v>
      </c>
      <c r="B53" s="6" t="s">
        <v>139</v>
      </c>
      <c r="C53" s="2" t="s">
        <v>61</v>
      </c>
      <c r="D53" s="2">
        <v>12</v>
      </c>
      <c r="E53" s="5">
        <f>IF(C53="", "", IFERROR(VLOOKUP(C53, Price_List!A:D, IF(Dashboard!$B$9="樂觀(Snipe)", 3, IF(Dashboard!$B$9="悲觀(Panic)", 4, 2)), 0), 0))</f>
        <v>188000</v>
      </c>
      <c r="F53" s="5">
        <f t="shared" si="0"/>
        <v>2256000</v>
      </c>
    </row>
    <row r="54" spans="1:6" ht="18" x14ac:dyDescent="0.35">
      <c r="A54" s="6" t="s">
        <v>93</v>
      </c>
      <c r="B54" s="6" t="s">
        <v>139</v>
      </c>
      <c r="C54" s="2" t="s">
        <v>67</v>
      </c>
      <c r="D54" s="2">
        <v>5</v>
      </c>
      <c r="E54" s="5">
        <f>IF(C54="", "", IFERROR(VLOOKUP(C54, Price_List!A:D, IF(Dashboard!$B$9="樂觀(Snipe)", 3, IF(Dashboard!$B$9="悲觀(Panic)", 4, 2)), 0), 0))</f>
        <v>560000</v>
      </c>
      <c r="F54" s="5">
        <f t="shared" si="0"/>
        <v>2800000</v>
      </c>
    </row>
    <row r="55" spans="1:6" ht="18" x14ac:dyDescent="0.35">
      <c r="A55" s="6" t="s">
        <v>93</v>
      </c>
      <c r="B55" s="6" t="s">
        <v>139</v>
      </c>
      <c r="C55" s="6" t="s">
        <v>97</v>
      </c>
      <c r="D55" s="2">
        <v>1</v>
      </c>
      <c r="E55" s="5">
        <f>IF(C55="", "", IFERROR(VLOOKUP(C55, Price_List!A:D, IF(Dashboard!$B$9="樂觀(Snipe)", 3, IF(Dashboard!$B$9="悲觀(Panic)", 4, 2)), 0), 0))</f>
        <v>3150000</v>
      </c>
      <c r="F55" s="5">
        <f t="shared" si="0"/>
        <v>3150000</v>
      </c>
    </row>
    <row r="56" spans="1:6" ht="18" hidden="1" x14ac:dyDescent="0.35">
      <c r="A56" s="6" t="s">
        <v>121</v>
      </c>
      <c r="B56" s="6" t="s">
        <v>103</v>
      </c>
      <c r="C56" s="6" t="s">
        <v>104</v>
      </c>
      <c r="D56" s="2">
        <v>2</v>
      </c>
      <c r="E56" s="5">
        <f>IF(C56="", "", IFERROR(VLOOKUP(C56, Price_List!A:D, IF(Dashboard!$B$9="樂觀(Snipe)", 3, IF(Dashboard!$B$9="悲觀(Panic)", 4, 2)), 0), 0))</f>
        <v>10500000</v>
      </c>
      <c r="F56" s="5">
        <f t="shared" si="0"/>
        <v>21000000</v>
      </c>
    </row>
    <row r="57" spans="1:6" ht="18" hidden="1" x14ac:dyDescent="0.35">
      <c r="A57" s="6" t="s">
        <v>121</v>
      </c>
      <c r="B57" s="6" t="s">
        <v>103</v>
      </c>
      <c r="C57" s="6" t="s">
        <v>105</v>
      </c>
      <c r="D57" s="2">
        <v>3</v>
      </c>
      <c r="E57" s="5">
        <f>IF(C57="", "", IFERROR(VLOOKUP(C57, Price_List!A:D, IF(Dashboard!$B$9="樂觀(Snipe)", 3, IF(Dashboard!$B$9="悲觀(Panic)", 4, 2)), 0), 0))</f>
        <v>560000</v>
      </c>
      <c r="F57" s="5">
        <f t="shared" si="0"/>
        <v>1680000</v>
      </c>
    </row>
    <row r="58" spans="1:6" ht="18" hidden="1" x14ac:dyDescent="0.35">
      <c r="A58" s="6" t="s">
        <v>121</v>
      </c>
      <c r="B58" s="6" t="s">
        <v>103</v>
      </c>
      <c r="C58" s="6" t="s">
        <v>99</v>
      </c>
      <c r="D58" s="2">
        <v>12</v>
      </c>
      <c r="E58" s="5">
        <f>IF(C58="", "", IFERROR(VLOOKUP(C58, Price_List!A:D, IF(Dashboard!$B$9="樂觀(Snipe)", 3, IF(Dashboard!$B$9="悲觀(Panic)", 4, 2)), 0), 0))</f>
        <v>3555</v>
      </c>
      <c r="F58" s="5">
        <f t="shared" si="0"/>
        <v>42660</v>
      </c>
    </row>
    <row r="59" spans="1:6" ht="18" hidden="1" x14ac:dyDescent="0.35">
      <c r="A59" s="6" t="s">
        <v>121</v>
      </c>
      <c r="B59" s="6" t="s">
        <v>103</v>
      </c>
      <c r="C59" s="6" t="s">
        <v>106</v>
      </c>
      <c r="D59" s="2">
        <v>3</v>
      </c>
      <c r="E59" s="5">
        <f>IF(C59="", "", IFERROR(VLOOKUP(C59, Price_List!A:D, IF(Dashboard!$B$9="樂觀(Snipe)", 3, IF(Dashboard!$B$9="悲觀(Panic)", 4, 2)), 0), 0))</f>
        <v>2199999</v>
      </c>
      <c r="F59" s="5">
        <f t="shared" si="0"/>
        <v>6599997</v>
      </c>
    </row>
    <row r="60" spans="1:6" ht="18" hidden="1" x14ac:dyDescent="0.35">
      <c r="A60" s="6" t="s">
        <v>121</v>
      </c>
      <c r="B60" s="6" t="s">
        <v>103</v>
      </c>
      <c r="C60" s="6" t="s">
        <v>122</v>
      </c>
      <c r="D60" s="2">
        <v>6</v>
      </c>
      <c r="E60" s="5">
        <f>IF(C60="", "", IFERROR(VLOOKUP(C60, Price_List!A:D, IF(Dashboard!$B$9="樂觀(Snipe)", 3, IF(Dashboard!$B$9="悲觀(Panic)", 4, 2)), 0), 0))</f>
        <v>1650000</v>
      </c>
      <c r="F60" s="5">
        <f t="shared" si="0"/>
        <v>9900000</v>
      </c>
    </row>
    <row r="61" spans="1:6" ht="18" hidden="1" x14ac:dyDescent="0.35">
      <c r="A61" s="6" t="s">
        <v>121</v>
      </c>
      <c r="B61" s="6" t="s">
        <v>103</v>
      </c>
      <c r="C61" s="6" t="s">
        <v>107</v>
      </c>
      <c r="D61" s="2">
        <v>8</v>
      </c>
      <c r="E61" s="5">
        <f>IF(C61="", "", IFERROR(VLOOKUP(C61, Price_List!A:D, IF(Dashboard!$B$9="樂觀(Snipe)", 3, IF(Dashboard!$B$9="悲觀(Panic)", 4, 2)), 0), 0))</f>
        <v>205000</v>
      </c>
      <c r="F61" s="5">
        <f t="shared" si="0"/>
        <v>1640000</v>
      </c>
    </row>
    <row r="62" spans="1:6" ht="18" hidden="1" x14ac:dyDescent="0.35">
      <c r="A62" s="6" t="s">
        <v>121</v>
      </c>
      <c r="B62" s="6" t="s">
        <v>103</v>
      </c>
      <c r="C62" s="6" t="s">
        <v>108</v>
      </c>
      <c r="D62" s="2">
        <v>5</v>
      </c>
      <c r="E62" s="5">
        <f>IF(C62="", "", IFERROR(VLOOKUP(C62, Price_List!A:D, IF(Dashboard!$B$9="樂觀(Snipe)", 3, IF(Dashboard!$B$9="悲觀(Panic)", 4, 2)), 0), 0))</f>
        <v>189998</v>
      </c>
      <c r="F62" s="5">
        <f t="shared" si="0"/>
        <v>949990</v>
      </c>
    </row>
    <row r="63" spans="1:6" ht="18" hidden="1" x14ac:dyDescent="0.35">
      <c r="A63" s="6" t="s">
        <v>121</v>
      </c>
      <c r="B63" s="6" t="s">
        <v>112</v>
      </c>
      <c r="C63" s="6" t="s">
        <v>117</v>
      </c>
      <c r="D63" s="2">
        <v>2</v>
      </c>
      <c r="E63" s="5">
        <f>IF(C63="", "", IFERROR(VLOOKUP(C63, Price_List!A:D, IF(Dashboard!$B$9="樂觀(Snipe)", 3, IF(Dashboard!$B$9="悲觀(Panic)", 4, 2)), 0), 0))</f>
        <v>10101008</v>
      </c>
      <c r="F63" s="5">
        <f t="shared" si="0"/>
        <v>20202016</v>
      </c>
    </row>
    <row r="64" spans="1:6" ht="18" hidden="1" x14ac:dyDescent="0.35">
      <c r="A64" s="6" t="s">
        <v>121</v>
      </c>
      <c r="B64" s="6" t="s">
        <v>112</v>
      </c>
      <c r="C64" s="6" t="s">
        <v>105</v>
      </c>
      <c r="D64" s="2">
        <v>4</v>
      </c>
      <c r="E64" s="5">
        <f>IF(C64="", "", IFERROR(VLOOKUP(C64, Price_List!A:D, IF(Dashboard!$B$9="樂觀(Snipe)", 3, IF(Dashboard!$B$9="悲觀(Panic)", 4, 2)), 0), 0))</f>
        <v>560000</v>
      </c>
      <c r="F64" s="5">
        <f t="shared" si="0"/>
        <v>2240000</v>
      </c>
    </row>
    <row r="65" spans="1:6" ht="18" hidden="1" x14ac:dyDescent="0.35">
      <c r="A65" s="6" t="s">
        <v>121</v>
      </c>
      <c r="B65" s="6" t="s">
        <v>112</v>
      </c>
      <c r="C65" s="6" t="s">
        <v>99</v>
      </c>
      <c r="D65" s="2">
        <v>14</v>
      </c>
      <c r="E65" s="5">
        <f>IF(C65="", "", IFERROR(VLOOKUP(C65, Price_List!A:D, IF(Dashboard!$B$9="樂觀(Snipe)", 3, IF(Dashboard!$B$9="悲觀(Panic)", 4, 2)), 0), 0))</f>
        <v>3555</v>
      </c>
      <c r="F65" s="5">
        <f t="shared" si="0"/>
        <v>49770</v>
      </c>
    </row>
    <row r="66" spans="1:6" ht="18" hidden="1" x14ac:dyDescent="0.35">
      <c r="A66" s="6" t="s">
        <v>121</v>
      </c>
      <c r="B66" s="6" t="s">
        <v>112</v>
      </c>
      <c r="C66" s="6" t="s">
        <v>106</v>
      </c>
      <c r="D66" s="2">
        <v>4</v>
      </c>
      <c r="E66" s="5">
        <f>IF(C66="", "", IFERROR(VLOOKUP(C66, Price_List!A:D, IF(Dashboard!$B$9="樂觀(Snipe)", 3, IF(Dashboard!$B$9="悲觀(Panic)", 4, 2)), 0), 0))</f>
        <v>2199999</v>
      </c>
      <c r="F66" s="5">
        <f t="shared" ref="F66:F129" si="1">IF(C66="", "", D66*E66)</f>
        <v>8799996</v>
      </c>
    </row>
    <row r="67" spans="1:6" ht="18" hidden="1" x14ac:dyDescent="0.35">
      <c r="A67" s="6" t="s">
        <v>121</v>
      </c>
      <c r="B67" s="6" t="s">
        <v>112</v>
      </c>
      <c r="C67" s="6" t="s">
        <v>122</v>
      </c>
      <c r="D67" s="2">
        <v>7</v>
      </c>
      <c r="E67" s="5">
        <f>IF(C67="", "", IFERROR(VLOOKUP(C67, Price_List!A:D, IF(Dashboard!$B$9="樂觀(Snipe)", 3, IF(Dashboard!$B$9="悲觀(Panic)", 4, 2)), 0), 0))</f>
        <v>1650000</v>
      </c>
      <c r="F67" s="5">
        <f t="shared" si="1"/>
        <v>11550000</v>
      </c>
    </row>
    <row r="68" spans="1:6" ht="18" hidden="1" x14ac:dyDescent="0.35">
      <c r="A68" s="6" t="s">
        <v>121</v>
      </c>
      <c r="B68" s="6" t="s">
        <v>112</v>
      </c>
      <c r="C68" s="6" t="s">
        <v>107</v>
      </c>
      <c r="D68" s="2">
        <v>10</v>
      </c>
      <c r="E68" s="5">
        <f>IF(C68="", "", IFERROR(VLOOKUP(C68, Price_List!A:D, IF(Dashboard!$B$9="樂觀(Snipe)", 3, IF(Dashboard!$B$9="悲觀(Panic)", 4, 2)), 0), 0))</f>
        <v>205000</v>
      </c>
      <c r="F68" s="5">
        <f t="shared" si="1"/>
        <v>2050000</v>
      </c>
    </row>
    <row r="69" spans="1:6" ht="18" hidden="1" x14ac:dyDescent="0.35">
      <c r="A69" s="6" t="s">
        <v>121</v>
      </c>
      <c r="B69" s="6" t="s">
        <v>112</v>
      </c>
      <c r="C69" s="6" t="s">
        <v>108</v>
      </c>
      <c r="D69" s="2">
        <v>6</v>
      </c>
      <c r="E69" s="5">
        <f>IF(C69="", "", IFERROR(VLOOKUP(C69, Price_List!A:D, IF(Dashboard!$B$9="樂觀(Snipe)", 3, IF(Dashboard!$B$9="悲觀(Panic)", 4, 2)), 0), 0))</f>
        <v>189998</v>
      </c>
      <c r="F69" s="5">
        <f t="shared" si="1"/>
        <v>1139988</v>
      </c>
    </row>
    <row r="70" spans="1:6" ht="18" hidden="1" x14ac:dyDescent="0.35">
      <c r="A70" s="6" t="s">
        <v>121</v>
      </c>
      <c r="B70" s="6" t="s">
        <v>111</v>
      </c>
      <c r="C70" s="6" t="s">
        <v>116</v>
      </c>
      <c r="D70" s="2">
        <v>2</v>
      </c>
      <c r="E70" s="5">
        <f>IF(C70="", "", IFERROR(VLOOKUP(C70, Price_List!A:D, IF(Dashboard!$B$9="樂觀(Snipe)", 3, IF(Dashboard!$B$9="悲觀(Panic)", 4, 2)), 0), 0))</f>
        <v>12000000</v>
      </c>
      <c r="F70" s="5">
        <f t="shared" si="1"/>
        <v>24000000</v>
      </c>
    </row>
    <row r="71" spans="1:6" ht="18" hidden="1" x14ac:dyDescent="0.35">
      <c r="A71" s="6" t="s">
        <v>121</v>
      </c>
      <c r="B71" s="6" t="s">
        <v>111</v>
      </c>
      <c r="C71" s="6" t="s">
        <v>105</v>
      </c>
      <c r="D71" s="2">
        <v>6</v>
      </c>
      <c r="E71" s="5">
        <f>IF(C71="", "", IFERROR(VLOOKUP(C71, Price_List!A:D, IF(Dashboard!$B$9="樂觀(Snipe)", 3, IF(Dashboard!$B$9="悲觀(Panic)", 4, 2)), 0), 0))</f>
        <v>560000</v>
      </c>
      <c r="F71" s="5">
        <f t="shared" si="1"/>
        <v>3360000</v>
      </c>
    </row>
    <row r="72" spans="1:6" ht="18" hidden="1" x14ac:dyDescent="0.35">
      <c r="A72" s="6" t="s">
        <v>121</v>
      </c>
      <c r="B72" s="6" t="s">
        <v>111</v>
      </c>
      <c r="C72" s="6" t="s">
        <v>99</v>
      </c>
      <c r="D72" s="2">
        <v>19</v>
      </c>
      <c r="E72" s="5">
        <f>IF(C72="", "", IFERROR(VLOOKUP(C72, Price_List!A:D, IF(Dashboard!$B$9="樂觀(Snipe)", 3, IF(Dashboard!$B$9="悲觀(Panic)", 4, 2)), 0), 0))</f>
        <v>3555</v>
      </c>
      <c r="F72" s="5">
        <f t="shared" si="1"/>
        <v>67545</v>
      </c>
    </row>
    <row r="73" spans="1:6" ht="18" hidden="1" x14ac:dyDescent="0.35">
      <c r="A73" s="6" t="s">
        <v>121</v>
      </c>
      <c r="B73" s="6" t="s">
        <v>111</v>
      </c>
      <c r="C73" s="6" t="s">
        <v>106</v>
      </c>
      <c r="D73" s="2">
        <v>5</v>
      </c>
      <c r="E73" s="5">
        <f>IF(C73="", "", IFERROR(VLOOKUP(C73, Price_List!A:D, IF(Dashboard!$B$9="樂觀(Snipe)", 3, IF(Dashboard!$B$9="悲觀(Panic)", 4, 2)), 0), 0))</f>
        <v>2199999</v>
      </c>
      <c r="F73" s="5">
        <f t="shared" si="1"/>
        <v>10999995</v>
      </c>
    </row>
    <row r="74" spans="1:6" ht="18" hidden="1" x14ac:dyDescent="0.35">
      <c r="A74" s="6" t="s">
        <v>121</v>
      </c>
      <c r="B74" s="6" t="s">
        <v>111</v>
      </c>
      <c r="C74" s="6" t="s">
        <v>122</v>
      </c>
      <c r="D74" s="2">
        <v>9</v>
      </c>
      <c r="E74" s="5">
        <f>IF(C74="", "", IFERROR(VLOOKUP(C74, Price_List!A:D, IF(Dashboard!$B$9="樂觀(Snipe)", 3, IF(Dashboard!$B$9="悲觀(Panic)", 4, 2)), 0), 0))</f>
        <v>1650000</v>
      </c>
      <c r="F74" s="5">
        <f t="shared" si="1"/>
        <v>14850000</v>
      </c>
    </row>
    <row r="75" spans="1:6" ht="18" hidden="1" x14ac:dyDescent="0.35">
      <c r="A75" s="6" t="s">
        <v>121</v>
      </c>
      <c r="B75" s="6" t="s">
        <v>111</v>
      </c>
      <c r="C75" s="6" t="s">
        <v>107</v>
      </c>
      <c r="D75" s="2">
        <v>14</v>
      </c>
      <c r="E75" s="5">
        <f>IF(C75="", "", IFERROR(VLOOKUP(C75, Price_List!A:D, IF(Dashboard!$B$9="樂觀(Snipe)", 3, IF(Dashboard!$B$9="悲觀(Panic)", 4, 2)), 0), 0))</f>
        <v>205000</v>
      </c>
      <c r="F75" s="5">
        <f t="shared" si="1"/>
        <v>2870000</v>
      </c>
    </row>
    <row r="76" spans="1:6" ht="18" hidden="1" x14ac:dyDescent="0.35">
      <c r="A76" s="6" t="s">
        <v>121</v>
      </c>
      <c r="B76" s="6" t="s">
        <v>111</v>
      </c>
      <c r="C76" s="6" t="s">
        <v>108</v>
      </c>
      <c r="D76" s="2">
        <v>8</v>
      </c>
      <c r="E76" s="5">
        <f>IF(C76="", "", IFERROR(VLOOKUP(C76, Price_List!A:D, IF(Dashboard!$B$9="樂觀(Snipe)", 3, IF(Dashboard!$B$9="悲觀(Panic)", 4, 2)), 0), 0))</f>
        <v>189998</v>
      </c>
      <c r="F76" s="5">
        <f t="shared" si="1"/>
        <v>1519984</v>
      </c>
    </row>
    <row r="77" spans="1:6" ht="18" hidden="1" x14ac:dyDescent="0.35">
      <c r="A77" s="6" t="s">
        <v>121</v>
      </c>
      <c r="B77" s="6" t="s">
        <v>114</v>
      </c>
      <c r="C77" s="6" t="s">
        <v>104</v>
      </c>
      <c r="D77" s="2">
        <v>2</v>
      </c>
      <c r="E77" s="5">
        <f>IF(C77="", "", IFERROR(VLOOKUP(C77, Price_List!A:D, IF(Dashboard!$B$9="樂觀(Snipe)", 3, IF(Dashboard!$B$9="悲觀(Panic)", 4, 2)), 0), 0))</f>
        <v>10500000</v>
      </c>
      <c r="F77" s="5">
        <f t="shared" si="1"/>
        <v>21000000</v>
      </c>
    </row>
    <row r="78" spans="1:6" ht="18" hidden="1" x14ac:dyDescent="0.35">
      <c r="A78" s="6" t="s">
        <v>121</v>
      </c>
      <c r="B78" s="6" t="s">
        <v>114</v>
      </c>
      <c r="C78" s="6" t="s">
        <v>105</v>
      </c>
      <c r="D78" s="2">
        <v>2</v>
      </c>
      <c r="E78" s="5">
        <f>IF(C78="", "", IFERROR(VLOOKUP(C78, Price_List!A:D, IF(Dashboard!$B$9="樂觀(Snipe)", 3, IF(Dashboard!$B$9="悲觀(Panic)", 4, 2)), 0), 0))</f>
        <v>560000</v>
      </c>
      <c r="F78" s="5">
        <f t="shared" si="1"/>
        <v>1120000</v>
      </c>
    </row>
    <row r="79" spans="1:6" ht="18" hidden="1" x14ac:dyDescent="0.35">
      <c r="A79" s="6" t="s">
        <v>121</v>
      </c>
      <c r="B79" s="6" t="s">
        <v>114</v>
      </c>
      <c r="C79" s="6" t="s">
        <v>99</v>
      </c>
      <c r="D79" s="2">
        <v>12</v>
      </c>
      <c r="E79" s="5">
        <f>IF(C79="", "", IFERROR(VLOOKUP(C79, Price_List!A:D, IF(Dashboard!$B$9="樂觀(Snipe)", 3, IF(Dashboard!$B$9="悲觀(Panic)", 4, 2)), 0), 0))</f>
        <v>3555</v>
      </c>
      <c r="F79" s="5">
        <f t="shared" si="1"/>
        <v>42660</v>
      </c>
    </row>
    <row r="80" spans="1:6" ht="18" hidden="1" x14ac:dyDescent="0.35">
      <c r="A80" s="6" t="s">
        <v>121</v>
      </c>
      <c r="B80" s="6" t="s">
        <v>114</v>
      </c>
      <c r="C80" s="6" t="s">
        <v>106</v>
      </c>
      <c r="D80" s="2">
        <v>2</v>
      </c>
      <c r="E80" s="5">
        <f>IF(C80="", "", IFERROR(VLOOKUP(C80, Price_List!A:D, IF(Dashboard!$B$9="樂觀(Snipe)", 3, IF(Dashboard!$B$9="悲觀(Panic)", 4, 2)), 0), 0))</f>
        <v>2199999</v>
      </c>
      <c r="F80" s="5">
        <f t="shared" si="1"/>
        <v>4399998</v>
      </c>
    </row>
    <row r="81" spans="1:6" ht="18" hidden="1" x14ac:dyDescent="0.35">
      <c r="A81" s="6" t="s">
        <v>121</v>
      </c>
      <c r="B81" s="6" t="s">
        <v>114</v>
      </c>
      <c r="C81" s="6" t="s">
        <v>122</v>
      </c>
      <c r="D81" s="2">
        <v>6</v>
      </c>
      <c r="E81" s="5">
        <f>IF(C81="", "", IFERROR(VLOOKUP(C81, Price_List!A:D, IF(Dashboard!$B$9="樂觀(Snipe)", 3, IF(Dashboard!$B$9="悲觀(Panic)", 4, 2)), 0), 0))</f>
        <v>1650000</v>
      </c>
      <c r="F81" s="5">
        <f t="shared" si="1"/>
        <v>9900000</v>
      </c>
    </row>
    <row r="82" spans="1:6" ht="18" hidden="1" x14ac:dyDescent="0.35">
      <c r="A82" s="6" t="s">
        <v>121</v>
      </c>
      <c r="B82" s="6" t="s">
        <v>114</v>
      </c>
      <c r="C82" s="6" t="s">
        <v>107</v>
      </c>
      <c r="D82" s="2">
        <v>7</v>
      </c>
      <c r="E82" s="5">
        <f>IF(C82="", "", IFERROR(VLOOKUP(C82, Price_List!A:D, IF(Dashboard!$B$9="樂觀(Snipe)", 3, IF(Dashboard!$B$9="悲觀(Panic)", 4, 2)), 0), 0))</f>
        <v>205000</v>
      </c>
      <c r="F82" s="5">
        <f t="shared" si="1"/>
        <v>1435000</v>
      </c>
    </row>
    <row r="83" spans="1:6" ht="18" hidden="1" x14ac:dyDescent="0.35">
      <c r="A83" s="6" t="s">
        <v>121</v>
      </c>
      <c r="B83" s="6" t="s">
        <v>114</v>
      </c>
      <c r="C83" s="6" t="s">
        <v>108</v>
      </c>
      <c r="D83" s="2">
        <v>5</v>
      </c>
      <c r="E83" s="5">
        <f>IF(C83="", "", IFERROR(VLOOKUP(C83, Price_List!A:D, IF(Dashboard!$B$9="樂觀(Snipe)", 3, IF(Dashboard!$B$9="悲觀(Panic)", 4, 2)), 0), 0))</f>
        <v>189998</v>
      </c>
      <c r="F83" s="5">
        <f t="shared" si="1"/>
        <v>949990</v>
      </c>
    </row>
    <row r="84" spans="1:6" ht="18" hidden="1" x14ac:dyDescent="0.35">
      <c r="A84" s="6" t="s">
        <v>121</v>
      </c>
      <c r="B84" s="6" t="s">
        <v>109</v>
      </c>
      <c r="C84" s="6" t="s">
        <v>110</v>
      </c>
      <c r="D84" s="2">
        <v>2</v>
      </c>
      <c r="E84" s="5">
        <f>IF(C84="", "", IFERROR(VLOOKUP(C84, Price_List!A:D, IF(Dashboard!$B$9="樂觀(Snipe)", 3, IF(Dashboard!$B$9="悲觀(Panic)", 4, 2)), 0), 0))</f>
        <v>9999999</v>
      </c>
      <c r="F84" s="5">
        <f t="shared" si="1"/>
        <v>19999998</v>
      </c>
    </row>
    <row r="85" spans="1:6" ht="18" hidden="1" x14ac:dyDescent="0.35">
      <c r="A85" s="6" t="s">
        <v>121</v>
      </c>
      <c r="B85" s="6" t="s">
        <v>109</v>
      </c>
      <c r="C85" s="6" t="s">
        <v>105</v>
      </c>
      <c r="D85" s="2">
        <v>3</v>
      </c>
      <c r="E85" s="5">
        <f>IF(C85="", "", IFERROR(VLOOKUP(C85, Price_List!A:D, IF(Dashboard!$B$9="樂觀(Snipe)", 3, IF(Dashboard!$B$9="悲觀(Panic)", 4, 2)), 0), 0))</f>
        <v>560000</v>
      </c>
      <c r="F85" s="5">
        <f t="shared" si="1"/>
        <v>1680000</v>
      </c>
    </row>
    <row r="86" spans="1:6" ht="18" hidden="1" x14ac:dyDescent="0.35">
      <c r="A86" s="6" t="s">
        <v>121</v>
      </c>
      <c r="B86" s="6" t="s">
        <v>109</v>
      </c>
      <c r="C86" s="6" t="s">
        <v>99</v>
      </c>
      <c r="D86" s="2">
        <v>12</v>
      </c>
      <c r="E86" s="5">
        <f>IF(C86="", "", IFERROR(VLOOKUP(C86, Price_List!A:D, IF(Dashboard!$B$9="樂觀(Snipe)", 3, IF(Dashboard!$B$9="悲觀(Panic)", 4, 2)), 0), 0))</f>
        <v>3555</v>
      </c>
      <c r="F86" s="5">
        <f t="shared" si="1"/>
        <v>42660</v>
      </c>
    </row>
    <row r="87" spans="1:6" ht="18" hidden="1" x14ac:dyDescent="0.35">
      <c r="A87" s="6" t="s">
        <v>121</v>
      </c>
      <c r="B87" s="6" t="s">
        <v>109</v>
      </c>
      <c r="C87" s="6" t="s">
        <v>106</v>
      </c>
      <c r="D87" s="2">
        <v>3</v>
      </c>
      <c r="E87" s="5">
        <f>IF(C87="", "", IFERROR(VLOOKUP(C87, Price_List!A:D, IF(Dashboard!$B$9="樂觀(Snipe)", 3, IF(Dashboard!$B$9="悲觀(Panic)", 4, 2)), 0), 0))</f>
        <v>2199999</v>
      </c>
      <c r="F87" s="5">
        <f t="shared" si="1"/>
        <v>6599997</v>
      </c>
    </row>
    <row r="88" spans="1:6" ht="18" hidden="1" x14ac:dyDescent="0.35">
      <c r="A88" s="6" t="s">
        <v>121</v>
      </c>
      <c r="B88" s="6" t="s">
        <v>109</v>
      </c>
      <c r="C88" s="6" t="s">
        <v>122</v>
      </c>
      <c r="D88" s="2">
        <v>6</v>
      </c>
      <c r="E88" s="5">
        <f>IF(C88="", "", IFERROR(VLOOKUP(C88, Price_List!A:D, IF(Dashboard!$B$9="樂觀(Snipe)", 3, IF(Dashboard!$B$9="悲觀(Panic)", 4, 2)), 0), 0))</f>
        <v>1650000</v>
      </c>
      <c r="F88" s="5">
        <f t="shared" si="1"/>
        <v>9900000</v>
      </c>
    </row>
    <row r="89" spans="1:6" ht="18" hidden="1" x14ac:dyDescent="0.35">
      <c r="A89" s="6" t="s">
        <v>121</v>
      </c>
      <c r="B89" s="6" t="s">
        <v>109</v>
      </c>
      <c r="C89" s="6" t="s">
        <v>107</v>
      </c>
      <c r="D89" s="2">
        <v>8</v>
      </c>
      <c r="E89" s="5">
        <f>IF(C89="", "", IFERROR(VLOOKUP(C89, Price_List!A:D, IF(Dashboard!$B$9="樂觀(Snipe)", 3, IF(Dashboard!$B$9="悲觀(Panic)", 4, 2)), 0), 0))</f>
        <v>205000</v>
      </c>
      <c r="F89" s="5">
        <f t="shared" si="1"/>
        <v>1640000</v>
      </c>
    </row>
    <row r="90" spans="1:6" ht="18" hidden="1" x14ac:dyDescent="0.35">
      <c r="A90" s="6" t="s">
        <v>121</v>
      </c>
      <c r="B90" s="6" t="s">
        <v>109</v>
      </c>
      <c r="C90" s="6" t="s">
        <v>108</v>
      </c>
      <c r="D90" s="2">
        <v>5</v>
      </c>
      <c r="E90" s="5">
        <f>IF(C90="", "", IFERROR(VLOOKUP(C90, Price_List!A:D, IF(Dashboard!$B$9="樂觀(Snipe)", 3, IF(Dashboard!$B$9="悲觀(Panic)", 4, 2)), 0), 0))</f>
        <v>189998</v>
      </c>
      <c r="F90" s="5">
        <f t="shared" si="1"/>
        <v>949990</v>
      </c>
    </row>
    <row r="91" spans="1:6" ht="18" hidden="1" x14ac:dyDescent="0.35">
      <c r="A91" s="6" t="s">
        <v>121</v>
      </c>
      <c r="B91" s="6" t="s">
        <v>115</v>
      </c>
      <c r="C91" s="6" t="s">
        <v>104</v>
      </c>
      <c r="D91" s="2">
        <v>2</v>
      </c>
      <c r="E91" s="5">
        <f>IF(C91="", "", IFERROR(VLOOKUP(C91, Price_List!A:D, IF(Dashboard!$B$9="樂觀(Snipe)", 3, IF(Dashboard!$B$9="悲觀(Panic)", 4, 2)), 0), 0))</f>
        <v>10500000</v>
      </c>
      <c r="F91" s="5">
        <f t="shared" si="1"/>
        <v>21000000</v>
      </c>
    </row>
    <row r="92" spans="1:6" ht="18" hidden="1" x14ac:dyDescent="0.35">
      <c r="A92" s="6" t="s">
        <v>121</v>
      </c>
      <c r="B92" s="6" t="s">
        <v>115</v>
      </c>
      <c r="C92" s="6" t="s">
        <v>105</v>
      </c>
      <c r="D92" s="2">
        <v>2</v>
      </c>
      <c r="E92" s="5">
        <f>IF(C92="", "", IFERROR(VLOOKUP(C92, Price_List!A:D, IF(Dashboard!$B$9="樂觀(Snipe)", 3, IF(Dashboard!$B$9="悲觀(Panic)", 4, 2)), 0), 0))</f>
        <v>560000</v>
      </c>
      <c r="F92" s="5">
        <f t="shared" si="1"/>
        <v>1120000</v>
      </c>
    </row>
    <row r="93" spans="1:6" ht="18" hidden="1" x14ac:dyDescent="0.35">
      <c r="A93" s="6" t="s">
        <v>121</v>
      </c>
      <c r="B93" s="6" t="s">
        <v>115</v>
      </c>
      <c r="C93" s="6" t="s">
        <v>99</v>
      </c>
      <c r="D93" s="2">
        <v>10</v>
      </c>
      <c r="E93" s="5">
        <f>IF(C93="", "", IFERROR(VLOOKUP(C93, Price_List!A:D, IF(Dashboard!$B$9="樂觀(Snipe)", 3, IF(Dashboard!$B$9="悲觀(Panic)", 4, 2)), 0), 0))</f>
        <v>3555</v>
      </c>
      <c r="F93" s="5">
        <f t="shared" si="1"/>
        <v>35550</v>
      </c>
    </row>
    <row r="94" spans="1:6" ht="18" hidden="1" x14ac:dyDescent="0.35">
      <c r="A94" s="6" t="s">
        <v>121</v>
      </c>
      <c r="B94" s="6" t="s">
        <v>115</v>
      </c>
      <c r="C94" s="6" t="s">
        <v>106</v>
      </c>
      <c r="D94" s="2">
        <v>2</v>
      </c>
      <c r="E94" s="5">
        <f>IF(C94="", "", IFERROR(VLOOKUP(C94, Price_List!A:D, IF(Dashboard!$B$9="樂觀(Snipe)", 3, IF(Dashboard!$B$9="悲觀(Panic)", 4, 2)), 0), 0))</f>
        <v>2199999</v>
      </c>
      <c r="F94" s="5">
        <f t="shared" si="1"/>
        <v>4399998</v>
      </c>
    </row>
    <row r="95" spans="1:6" ht="18" hidden="1" x14ac:dyDescent="0.35">
      <c r="A95" s="6" t="s">
        <v>121</v>
      </c>
      <c r="B95" s="6" t="s">
        <v>115</v>
      </c>
      <c r="C95" s="6" t="s">
        <v>122</v>
      </c>
      <c r="D95" s="2">
        <v>5</v>
      </c>
      <c r="E95" s="5">
        <f>IF(C95="", "", IFERROR(VLOOKUP(C95, Price_List!A:D, IF(Dashboard!$B$9="樂觀(Snipe)", 3, IF(Dashboard!$B$9="悲觀(Panic)", 4, 2)), 0), 0))</f>
        <v>1650000</v>
      </c>
      <c r="F95" s="5">
        <f t="shared" si="1"/>
        <v>8250000</v>
      </c>
    </row>
    <row r="96" spans="1:6" ht="18" hidden="1" x14ac:dyDescent="0.35">
      <c r="A96" s="6" t="s">
        <v>121</v>
      </c>
      <c r="B96" s="6" t="s">
        <v>115</v>
      </c>
      <c r="C96" s="6" t="s">
        <v>107</v>
      </c>
      <c r="D96" s="2">
        <v>6</v>
      </c>
      <c r="E96" s="5">
        <f>IF(C96="", "", IFERROR(VLOOKUP(C96, Price_List!A:D, IF(Dashboard!$B$9="樂觀(Snipe)", 3, IF(Dashboard!$B$9="悲觀(Panic)", 4, 2)), 0), 0))</f>
        <v>205000</v>
      </c>
      <c r="F96" s="5">
        <f t="shared" si="1"/>
        <v>1230000</v>
      </c>
    </row>
    <row r="97" spans="1:6" ht="18" hidden="1" x14ac:dyDescent="0.35">
      <c r="A97" s="6" t="s">
        <v>121</v>
      </c>
      <c r="B97" s="6" t="s">
        <v>115</v>
      </c>
      <c r="C97" s="6" t="s">
        <v>108</v>
      </c>
      <c r="D97" s="2">
        <v>4</v>
      </c>
      <c r="E97" s="5">
        <f>IF(C97="", "", IFERROR(VLOOKUP(C97, Price_List!A:D, IF(Dashboard!$B$9="樂觀(Snipe)", 3, IF(Dashboard!$B$9="悲觀(Panic)", 4, 2)), 0), 0))</f>
        <v>189998</v>
      </c>
      <c r="F97" s="5">
        <f t="shared" si="1"/>
        <v>759992</v>
      </c>
    </row>
    <row r="98" spans="1:6" ht="18" hidden="1" x14ac:dyDescent="0.35">
      <c r="A98" s="6" t="s">
        <v>121</v>
      </c>
      <c r="B98" s="6" t="s">
        <v>113</v>
      </c>
      <c r="C98" s="6" t="s">
        <v>118</v>
      </c>
      <c r="D98" s="2">
        <v>2</v>
      </c>
      <c r="E98" s="5">
        <f>IF(C98="", "", IFERROR(VLOOKUP(C98, Price_List!A:D, IF(Dashboard!$B$9="樂觀(Snipe)", 3, IF(Dashboard!$B$9="悲觀(Panic)", 4, 2)), 0), 0))</f>
        <v>8222222</v>
      </c>
      <c r="F98" s="5">
        <f t="shared" si="1"/>
        <v>16444444</v>
      </c>
    </row>
    <row r="99" spans="1:6" ht="18" hidden="1" x14ac:dyDescent="0.35">
      <c r="A99" s="6" t="s">
        <v>121</v>
      </c>
      <c r="B99" s="6" t="s">
        <v>113</v>
      </c>
      <c r="C99" s="6" t="s">
        <v>105</v>
      </c>
      <c r="D99" s="2">
        <v>2</v>
      </c>
      <c r="E99" s="5">
        <f>IF(C99="", "", IFERROR(VLOOKUP(C99, Price_List!A:D, IF(Dashboard!$B$9="樂觀(Snipe)", 3, IF(Dashboard!$B$9="悲觀(Panic)", 4, 2)), 0), 0))</f>
        <v>560000</v>
      </c>
      <c r="F99" s="5">
        <f t="shared" si="1"/>
        <v>1120000</v>
      </c>
    </row>
    <row r="100" spans="1:6" ht="18" hidden="1" x14ac:dyDescent="0.35">
      <c r="A100" s="6" t="s">
        <v>121</v>
      </c>
      <c r="B100" s="6" t="s">
        <v>113</v>
      </c>
      <c r="C100" s="6" t="s">
        <v>99</v>
      </c>
      <c r="D100" s="2">
        <v>10</v>
      </c>
      <c r="E100" s="5">
        <f>IF(C100="", "", IFERROR(VLOOKUP(C100, Price_List!A:D, IF(Dashboard!$B$9="樂觀(Snipe)", 3, IF(Dashboard!$B$9="悲觀(Panic)", 4, 2)), 0), 0))</f>
        <v>3555</v>
      </c>
      <c r="F100" s="5">
        <f t="shared" si="1"/>
        <v>35550</v>
      </c>
    </row>
    <row r="101" spans="1:6" ht="18" hidden="1" x14ac:dyDescent="0.35">
      <c r="A101" s="6" t="s">
        <v>121</v>
      </c>
      <c r="B101" s="6" t="s">
        <v>113</v>
      </c>
      <c r="C101" s="6" t="s">
        <v>106</v>
      </c>
      <c r="D101" s="2">
        <v>2</v>
      </c>
      <c r="E101" s="5">
        <f>IF(C101="", "", IFERROR(VLOOKUP(C101, Price_List!A:D, IF(Dashboard!$B$9="樂觀(Snipe)", 3, IF(Dashboard!$B$9="悲觀(Panic)", 4, 2)), 0), 0))</f>
        <v>2199999</v>
      </c>
      <c r="F101" s="5">
        <f t="shared" si="1"/>
        <v>4399998</v>
      </c>
    </row>
    <row r="102" spans="1:6" ht="18" hidden="1" x14ac:dyDescent="0.35">
      <c r="A102" s="6" t="s">
        <v>121</v>
      </c>
      <c r="B102" s="6" t="s">
        <v>113</v>
      </c>
      <c r="C102" s="6" t="s">
        <v>122</v>
      </c>
      <c r="D102" s="2">
        <v>5</v>
      </c>
      <c r="E102" s="5">
        <f>IF(C102="", "", IFERROR(VLOOKUP(C102, Price_List!A:D, IF(Dashboard!$B$9="樂觀(Snipe)", 3, IF(Dashboard!$B$9="悲觀(Panic)", 4, 2)), 0), 0))</f>
        <v>1650000</v>
      </c>
      <c r="F102" s="5">
        <f t="shared" si="1"/>
        <v>8250000</v>
      </c>
    </row>
    <row r="103" spans="1:6" ht="18" hidden="1" x14ac:dyDescent="0.35">
      <c r="A103" s="6" t="s">
        <v>121</v>
      </c>
      <c r="B103" s="6" t="s">
        <v>113</v>
      </c>
      <c r="C103" s="6" t="s">
        <v>107</v>
      </c>
      <c r="D103" s="2">
        <v>6</v>
      </c>
      <c r="E103" s="5">
        <f>IF(C103="", "", IFERROR(VLOOKUP(C103, Price_List!A:D, IF(Dashboard!$B$9="樂觀(Snipe)", 3, IF(Dashboard!$B$9="悲觀(Panic)", 4, 2)), 0), 0))</f>
        <v>205000</v>
      </c>
      <c r="F103" s="5">
        <f t="shared" si="1"/>
        <v>1230000</v>
      </c>
    </row>
    <row r="104" spans="1:6" ht="18" hidden="1" x14ac:dyDescent="0.35">
      <c r="A104" s="6" t="s">
        <v>121</v>
      </c>
      <c r="B104" s="6" t="s">
        <v>113</v>
      </c>
      <c r="C104" s="6" t="s">
        <v>108</v>
      </c>
      <c r="D104" s="2">
        <v>4</v>
      </c>
      <c r="E104" s="5">
        <f>IF(C104="", "", IFERROR(VLOOKUP(C104, Price_List!A:D, IF(Dashboard!$B$9="樂觀(Snipe)", 3, IF(Dashboard!$B$9="悲觀(Panic)", 4, 2)), 0), 0))</f>
        <v>189998</v>
      </c>
      <c r="F104" s="5">
        <f t="shared" si="1"/>
        <v>759992</v>
      </c>
    </row>
    <row r="105" spans="1:6" ht="18" hidden="1" x14ac:dyDescent="0.35">
      <c r="A105" s="2" t="s">
        <v>40</v>
      </c>
      <c r="B105" s="2" t="s">
        <v>50</v>
      </c>
      <c r="C105" s="6" t="s">
        <v>96</v>
      </c>
      <c r="D105" s="2">
        <v>29</v>
      </c>
      <c r="E105" s="5">
        <f>IF(C105="", "", IFERROR(VLOOKUP(C105, Price_List!A:D, IF(Dashboard!$B$9="樂觀(Snipe)", 3, IF(Dashboard!$B$9="悲觀(Panic)", 4, 2)), 0), 0))</f>
        <v>5984</v>
      </c>
      <c r="F105" s="5">
        <f t="shared" si="1"/>
        <v>173536</v>
      </c>
    </row>
    <row r="106" spans="1:6" ht="18" hidden="1" x14ac:dyDescent="0.35">
      <c r="A106" s="2" t="s">
        <v>40</v>
      </c>
      <c r="B106" s="2" t="s">
        <v>50</v>
      </c>
      <c r="C106" s="2" t="s">
        <v>47</v>
      </c>
      <c r="D106" s="2">
        <v>8</v>
      </c>
      <c r="E106" s="5">
        <f>IF(C106="", "", IFERROR(VLOOKUP(C106, Price_List!A:D, IF(Dashboard!$B$9="樂觀(Snipe)", 3, IF(Dashboard!$B$9="悲觀(Panic)", 4, 2)), 0), 0))</f>
        <v>2199999</v>
      </c>
      <c r="F106" s="5">
        <f t="shared" si="1"/>
        <v>17599992</v>
      </c>
    </row>
    <row r="107" spans="1:6" ht="18" hidden="1" x14ac:dyDescent="0.35">
      <c r="A107" s="2" t="s">
        <v>40</v>
      </c>
      <c r="B107" s="2" t="s">
        <v>50</v>
      </c>
      <c r="C107" s="2" t="s">
        <v>49</v>
      </c>
      <c r="D107" s="2">
        <v>14</v>
      </c>
      <c r="E107" s="5">
        <f>IF(C107="", "", IFERROR(VLOOKUP(C107, Price_List!A:D, IF(Dashboard!$B$9="樂觀(Snipe)", 3, IF(Dashboard!$B$9="悲觀(Panic)", 4, 2)), 0), 0))</f>
        <v>1650000</v>
      </c>
      <c r="F107" s="5">
        <f t="shared" si="1"/>
        <v>23100000</v>
      </c>
    </row>
    <row r="108" spans="1:6" ht="18" hidden="1" x14ac:dyDescent="0.35">
      <c r="A108" s="2" t="s">
        <v>40</v>
      </c>
      <c r="B108" s="2" t="s">
        <v>50</v>
      </c>
      <c r="C108" s="2" t="s">
        <v>55</v>
      </c>
      <c r="D108" s="2">
        <v>12</v>
      </c>
      <c r="E108" s="5">
        <f>IF(C108="", "", IFERROR(VLOOKUP(C108, Price_List!A:D, IF(Dashboard!$B$9="樂觀(Snipe)", 3, IF(Dashboard!$B$9="悲觀(Panic)", 4, 2)), 0), 0))</f>
        <v>189998</v>
      </c>
      <c r="F108" s="5">
        <f t="shared" si="1"/>
        <v>2279976</v>
      </c>
    </row>
    <row r="109" spans="1:6" ht="18" hidden="1" x14ac:dyDescent="0.35">
      <c r="A109" s="2" t="s">
        <v>40</v>
      </c>
      <c r="B109" s="2" t="s">
        <v>50</v>
      </c>
      <c r="C109" s="2" t="s">
        <v>61</v>
      </c>
      <c r="D109" s="2">
        <v>21</v>
      </c>
      <c r="E109" s="5">
        <f>IF(C109="", "", IFERROR(VLOOKUP(C109, Price_List!A:D, IF(Dashboard!$B$9="樂觀(Snipe)", 3, IF(Dashboard!$B$9="悲觀(Panic)", 4, 2)), 0), 0))</f>
        <v>188000</v>
      </c>
      <c r="F109" s="5">
        <f t="shared" si="1"/>
        <v>3948000</v>
      </c>
    </row>
    <row r="110" spans="1:6" ht="18" hidden="1" x14ac:dyDescent="0.35">
      <c r="A110" s="2" t="s">
        <v>40</v>
      </c>
      <c r="B110" s="2" t="s">
        <v>50</v>
      </c>
      <c r="C110" s="2" t="s">
        <v>67</v>
      </c>
      <c r="D110" s="2">
        <v>9</v>
      </c>
      <c r="E110" s="5">
        <f>IF(C110="", "", IFERROR(VLOOKUP(C110, Price_List!A:D, IF(Dashboard!$B$9="樂觀(Snipe)", 3, IF(Dashboard!$B$9="悲觀(Panic)", 4, 2)), 0), 0))</f>
        <v>560000</v>
      </c>
      <c r="F110" s="5">
        <f t="shared" si="1"/>
        <v>5040000</v>
      </c>
    </row>
    <row r="111" spans="1:6" ht="18" hidden="1" x14ac:dyDescent="0.35">
      <c r="A111" s="2" t="s">
        <v>40</v>
      </c>
      <c r="B111" s="2" t="s">
        <v>50</v>
      </c>
      <c r="C111" s="2" t="s">
        <v>83</v>
      </c>
      <c r="D111" s="2">
        <v>2</v>
      </c>
      <c r="E111" s="5">
        <f>IF(C111="", "", IFERROR(VLOOKUP(C111, Price_List!A:D, IF(Dashboard!$B$9="樂觀(Snipe)", 3, IF(Dashboard!$B$9="悲觀(Panic)", 4, 2)), 0), 0))</f>
        <v>3300088</v>
      </c>
      <c r="F111" s="5">
        <f t="shared" si="1"/>
        <v>6600176</v>
      </c>
    </row>
    <row r="112" spans="1:6" ht="18" hidden="1" x14ac:dyDescent="0.35">
      <c r="A112" s="2" t="s">
        <v>39</v>
      </c>
      <c r="B112" s="2" t="s">
        <v>60</v>
      </c>
      <c r="C112" s="2" t="s">
        <v>47</v>
      </c>
      <c r="D112" s="2">
        <v>6</v>
      </c>
      <c r="E112" s="5">
        <f>IF(C112="", "", IFERROR(VLOOKUP(C112, Price_List!A:D, IF(Dashboard!$B$9="樂觀(Snipe)", 3, IF(Dashboard!$B$9="悲觀(Panic)", 4, 2)), 0), 0))</f>
        <v>2199999</v>
      </c>
      <c r="F112" s="5">
        <f t="shared" si="1"/>
        <v>13199994</v>
      </c>
    </row>
    <row r="113" spans="1:6" ht="18" hidden="1" x14ac:dyDescent="0.35">
      <c r="A113" s="2" t="s">
        <v>39</v>
      </c>
      <c r="B113" s="2" t="s">
        <v>60</v>
      </c>
      <c r="C113" s="2" t="s">
        <v>49</v>
      </c>
      <c r="D113" s="2">
        <v>11</v>
      </c>
      <c r="E113" s="5">
        <f>IF(C113="", "", IFERROR(VLOOKUP(C113, Price_List!A:D, IF(Dashboard!$B$9="樂觀(Snipe)", 3, IF(Dashboard!$B$9="悲觀(Panic)", 4, 2)), 0), 0))</f>
        <v>1650000</v>
      </c>
      <c r="F113" s="5">
        <f t="shared" si="1"/>
        <v>18150000</v>
      </c>
    </row>
    <row r="114" spans="1:6" ht="18" hidden="1" x14ac:dyDescent="0.35">
      <c r="A114" s="2" t="s">
        <v>39</v>
      </c>
      <c r="B114" s="2" t="s">
        <v>60</v>
      </c>
      <c r="C114" s="2" t="s">
        <v>51</v>
      </c>
      <c r="D114" s="2">
        <v>21</v>
      </c>
      <c r="E114" s="5">
        <f>IF(C114="", "", IFERROR(VLOOKUP(C114, Price_List!A:D, IF(Dashboard!$B$9="樂觀(Snipe)", 3, IF(Dashboard!$B$9="悲觀(Panic)", 4, 2)), 0), 0))</f>
        <v>899999</v>
      </c>
      <c r="F114" s="5">
        <f t="shared" si="1"/>
        <v>18899979</v>
      </c>
    </row>
    <row r="115" spans="1:6" ht="18" hidden="1" x14ac:dyDescent="0.35">
      <c r="A115" s="2" t="s">
        <v>39</v>
      </c>
      <c r="B115" s="2" t="s">
        <v>60</v>
      </c>
      <c r="C115" s="2" t="s">
        <v>53</v>
      </c>
      <c r="D115" s="2">
        <v>41</v>
      </c>
      <c r="E115" s="5">
        <f>IF(C115="", "", IFERROR(VLOOKUP(C115, Price_List!A:D, IF(Dashboard!$B$9="樂觀(Snipe)", 3, IF(Dashboard!$B$9="悲觀(Panic)", 4, 2)), 0), 0))</f>
        <v>11900</v>
      </c>
      <c r="F115" s="5">
        <f t="shared" si="1"/>
        <v>487900</v>
      </c>
    </row>
    <row r="116" spans="1:6" ht="18" hidden="1" x14ac:dyDescent="0.35">
      <c r="A116" s="2" t="s">
        <v>39</v>
      </c>
      <c r="B116" s="2" t="s">
        <v>60</v>
      </c>
      <c r="C116" s="2" t="s">
        <v>55</v>
      </c>
      <c r="D116" s="2">
        <v>21</v>
      </c>
      <c r="E116" s="5">
        <f>IF(C116="", "", IFERROR(VLOOKUP(C116, Price_List!A:D, IF(Dashboard!$B$9="樂觀(Snipe)", 3, IF(Dashboard!$B$9="悲觀(Panic)", 4, 2)), 0), 0))</f>
        <v>189998</v>
      </c>
      <c r="F116" s="5">
        <f t="shared" si="1"/>
        <v>3989958</v>
      </c>
    </row>
    <row r="117" spans="1:6" ht="18" hidden="1" x14ac:dyDescent="0.35">
      <c r="A117" s="2" t="s">
        <v>39</v>
      </c>
      <c r="B117" s="2" t="s">
        <v>60</v>
      </c>
      <c r="C117" s="2" t="s">
        <v>57</v>
      </c>
      <c r="D117" s="2">
        <v>36</v>
      </c>
      <c r="E117" s="5">
        <f>IF(C117="", "", IFERROR(VLOOKUP(C117, Price_List!A:D, IF(Dashboard!$B$9="樂觀(Snipe)", 3, IF(Dashboard!$B$9="悲觀(Panic)", 4, 2)), 0), 0))</f>
        <v>205000</v>
      </c>
      <c r="F117" s="5">
        <f t="shared" si="1"/>
        <v>7380000</v>
      </c>
    </row>
    <row r="118" spans="1:6" ht="18" hidden="1" x14ac:dyDescent="0.35">
      <c r="A118" s="2" t="s">
        <v>39</v>
      </c>
      <c r="B118" s="2" t="s">
        <v>60</v>
      </c>
      <c r="C118" s="2" t="s">
        <v>67</v>
      </c>
      <c r="D118" s="2">
        <v>15</v>
      </c>
      <c r="E118" s="5">
        <f>IF(C118="", "", IFERROR(VLOOKUP(C118, Price_List!A:D, IF(Dashboard!$B$9="樂觀(Snipe)", 3, IF(Dashboard!$B$9="悲觀(Panic)", 4, 2)), 0), 0))</f>
        <v>560000</v>
      </c>
      <c r="F118" s="5">
        <f t="shared" si="1"/>
        <v>8400000</v>
      </c>
    </row>
    <row r="119" spans="1:6" ht="18" hidden="1" x14ac:dyDescent="0.35">
      <c r="A119" s="2" t="s">
        <v>39</v>
      </c>
      <c r="B119" s="2" t="s">
        <v>60</v>
      </c>
      <c r="C119" s="2" t="s">
        <v>79</v>
      </c>
      <c r="D119" s="2">
        <v>3</v>
      </c>
      <c r="E119" s="5">
        <f>IF(C119="", "", IFERROR(VLOOKUP(C119, Price_List!A:D, IF(Dashboard!$B$9="樂觀(Snipe)", 3, IF(Dashboard!$B$9="悲觀(Panic)", 4, 2)), 0), 0))</f>
        <v>2599988</v>
      </c>
      <c r="F119" s="5">
        <f t="shared" si="1"/>
        <v>7799964</v>
      </c>
    </row>
    <row r="120" spans="1:6" ht="18" hidden="1" x14ac:dyDescent="0.35">
      <c r="A120" s="2" t="s">
        <v>39</v>
      </c>
      <c r="B120" s="2" t="s">
        <v>62</v>
      </c>
      <c r="C120" s="2" t="s">
        <v>47</v>
      </c>
      <c r="D120" s="2">
        <v>2</v>
      </c>
      <c r="E120" s="5">
        <f>IF(C120="", "", IFERROR(VLOOKUP(C120, Price_List!A:D, IF(Dashboard!$B$9="樂觀(Snipe)", 3, IF(Dashboard!$B$9="悲觀(Panic)", 4, 2)), 0), 0))</f>
        <v>2199999</v>
      </c>
      <c r="F120" s="5">
        <f t="shared" si="1"/>
        <v>4399998</v>
      </c>
    </row>
    <row r="121" spans="1:6" ht="18" hidden="1" x14ac:dyDescent="0.35">
      <c r="A121" s="2" t="s">
        <v>39</v>
      </c>
      <c r="B121" s="2" t="s">
        <v>62</v>
      </c>
      <c r="C121" s="2" t="s">
        <v>49</v>
      </c>
      <c r="D121" s="2">
        <v>4</v>
      </c>
      <c r="E121" s="5">
        <f>IF(C121="", "", IFERROR(VLOOKUP(C121, Price_List!A:D, IF(Dashboard!$B$9="樂觀(Snipe)", 3, IF(Dashboard!$B$9="悲觀(Panic)", 4, 2)), 0), 0))</f>
        <v>1650000</v>
      </c>
      <c r="F121" s="5">
        <f t="shared" si="1"/>
        <v>6600000</v>
      </c>
    </row>
    <row r="122" spans="1:6" ht="18" hidden="1" x14ac:dyDescent="0.35">
      <c r="A122" s="2" t="s">
        <v>39</v>
      </c>
      <c r="B122" s="2" t="s">
        <v>62</v>
      </c>
      <c r="C122" s="2" t="s">
        <v>51</v>
      </c>
      <c r="D122" s="2">
        <v>9</v>
      </c>
      <c r="E122" s="5">
        <f>IF(C122="", "", IFERROR(VLOOKUP(C122, Price_List!A:D, IF(Dashboard!$B$9="樂觀(Snipe)", 3, IF(Dashboard!$B$9="悲觀(Panic)", 4, 2)), 0), 0))</f>
        <v>899999</v>
      </c>
      <c r="F122" s="5">
        <f t="shared" si="1"/>
        <v>8099991</v>
      </c>
    </row>
    <row r="123" spans="1:6" ht="18" hidden="1" x14ac:dyDescent="0.35">
      <c r="A123" s="2" t="s">
        <v>39</v>
      </c>
      <c r="B123" s="2" t="s">
        <v>62</v>
      </c>
      <c r="C123" s="2" t="s">
        <v>55</v>
      </c>
      <c r="D123" s="2">
        <v>9</v>
      </c>
      <c r="E123" s="5">
        <f>IF(C123="", "", IFERROR(VLOOKUP(C123, Price_List!A:D, IF(Dashboard!$B$9="樂觀(Snipe)", 3, IF(Dashboard!$B$9="悲觀(Panic)", 4, 2)), 0), 0))</f>
        <v>189998</v>
      </c>
      <c r="F123" s="5">
        <f t="shared" si="1"/>
        <v>1709982</v>
      </c>
    </row>
    <row r="124" spans="1:6" ht="18" hidden="1" x14ac:dyDescent="0.35">
      <c r="A124" s="2" t="s">
        <v>39</v>
      </c>
      <c r="B124" s="2" t="s">
        <v>62</v>
      </c>
      <c r="C124" s="2" t="s">
        <v>57</v>
      </c>
      <c r="D124" s="2">
        <v>15</v>
      </c>
      <c r="E124" s="5">
        <f>IF(C124="", "", IFERROR(VLOOKUP(C124, Price_List!A:D, IF(Dashboard!$B$9="樂觀(Snipe)", 3, IF(Dashboard!$B$9="悲觀(Panic)", 4, 2)), 0), 0))</f>
        <v>205000</v>
      </c>
      <c r="F124" s="5">
        <f t="shared" si="1"/>
        <v>3075000</v>
      </c>
    </row>
    <row r="125" spans="1:6" ht="18" hidden="1" x14ac:dyDescent="0.35">
      <c r="A125" s="2" t="s">
        <v>39</v>
      </c>
      <c r="B125" s="2" t="s">
        <v>62</v>
      </c>
      <c r="C125" s="2" t="s">
        <v>67</v>
      </c>
      <c r="D125" s="2">
        <v>7</v>
      </c>
      <c r="E125" s="5">
        <f>IF(C125="", "", IFERROR(VLOOKUP(C125, Price_List!A:D, IF(Dashboard!$B$9="樂觀(Snipe)", 3, IF(Dashboard!$B$9="悲觀(Panic)", 4, 2)), 0), 0))</f>
        <v>560000</v>
      </c>
      <c r="F125" s="5">
        <f t="shared" si="1"/>
        <v>3920000</v>
      </c>
    </row>
    <row r="126" spans="1:6" ht="18" hidden="1" x14ac:dyDescent="0.35">
      <c r="A126" s="2" t="s">
        <v>39</v>
      </c>
      <c r="B126" s="2" t="s">
        <v>62</v>
      </c>
      <c r="C126" s="2" t="s">
        <v>81</v>
      </c>
      <c r="D126" s="2">
        <v>3</v>
      </c>
      <c r="E126" s="5">
        <f>IF(C126="", "", IFERROR(VLOOKUP(C126, Price_List!A:D, IF(Dashboard!$B$9="樂觀(Snipe)", 3, IF(Dashboard!$B$9="悲觀(Panic)", 4, 2)), 0), 0))</f>
        <v>10500000</v>
      </c>
      <c r="F126" s="5">
        <f t="shared" si="1"/>
        <v>31500000</v>
      </c>
    </row>
    <row r="127" spans="1:6" ht="18" hidden="1" x14ac:dyDescent="0.35">
      <c r="A127" s="2" t="s">
        <v>39</v>
      </c>
      <c r="B127" s="2" t="s">
        <v>62</v>
      </c>
      <c r="C127" s="2" t="s">
        <v>86</v>
      </c>
      <c r="D127" s="2">
        <v>17</v>
      </c>
      <c r="E127" s="5">
        <f>IF(C127="", "", IFERROR(VLOOKUP(C127, Price_List!A:D, IF(Dashboard!$B$9="樂觀(Snipe)", 3, IF(Dashboard!$B$9="悲觀(Panic)", 4, 2)), 0), 0))</f>
        <v>10998</v>
      </c>
      <c r="F127" s="5">
        <f t="shared" si="1"/>
        <v>186966</v>
      </c>
    </row>
    <row r="128" spans="1:6" ht="18" hidden="1" x14ac:dyDescent="0.35">
      <c r="A128" s="2" t="s">
        <v>39</v>
      </c>
      <c r="B128" s="2" t="s">
        <v>70</v>
      </c>
      <c r="C128" s="2" t="s">
        <v>47</v>
      </c>
      <c r="D128" s="2">
        <v>2</v>
      </c>
      <c r="E128" s="5">
        <f>IF(C128="", "", IFERROR(VLOOKUP(C128, Price_List!A:D, IF(Dashboard!$B$9="樂觀(Snipe)", 3, IF(Dashboard!$B$9="悲觀(Panic)", 4, 2)), 0), 0))</f>
        <v>2199999</v>
      </c>
      <c r="F128" s="5">
        <f t="shared" si="1"/>
        <v>4399998</v>
      </c>
    </row>
    <row r="129" spans="1:6" ht="18" hidden="1" x14ac:dyDescent="0.35">
      <c r="A129" s="2" t="s">
        <v>39</v>
      </c>
      <c r="B129" s="2" t="s">
        <v>70</v>
      </c>
      <c r="C129" s="2" t="s">
        <v>49</v>
      </c>
      <c r="D129" s="2">
        <v>4</v>
      </c>
      <c r="E129" s="5">
        <f>IF(C129="", "", IFERROR(VLOOKUP(C129, Price_List!A:D, IF(Dashboard!$B$9="樂觀(Snipe)", 3, IF(Dashboard!$B$9="悲觀(Panic)", 4, 2)), 0), 0))</f>
        <v>1650000</v>
      </c>
      <c r="F129" s="5">
        <f t="shared" si="1"/>
        <v>6600000</v>
      </c>
    </row>
    <row r="130" spans="1:6" ht="18" hidden="1" x14ac:dyDescent="0.35">
      <c r="A130" s="2" t="s">
        <v>39</v>
      </c>
      <c r="B130" s="2" t="s">
        <v>70</v>
      </c>
      <c r="C130" s="2" t="s">
        <v>51</v>
      </c>
      <c r="D130" s="2">
        <v>9</v>
      </c>
      <c r="E130" s="5">
        <f>IF(C130="", "", IFERROR(VLOOKUP(C130, Price_List!A:D, IF(Dashboard!$B$9="樂觀(Snipe)", 3, IF(Dashboard!$B$9="悲觀(Panic)", 4, 2)), 0), 0))</f>
        <v>899999</v>
      </c>
      <c r="F130" s="5">
        <f t="shared" ref="F130:F193" si="2">IF(C130="", "", D130*E130)</f>
        <v>8099991</v>
      </c>
    </row>
    <row r="131" spans="1:6" ht="18" hidden="1" x14ac:dyDescent="0.35">
      <c r="A131" s="2" t="s">
        <v>39</v>
      </c>
      <c r="B131" s="2" t="s">
        <v>70</v>
      </c>
      <c r="C131" s="2" t="s">
        <v>55</v>
      </c>
      <c r="D131" s="2">
        <v>9</v>
      </c>
      <c r="E131" s="5">
        <f>IF(C131="", "", IFERROR(VLOOKUP(C131, Price_List!A:D, IF(Dashboard!$B$9="樂觀(Snipe)", 3, IF(Dashboard!$B$9="悲觀(Panic)", 4, 2)), 0), 0))</f>
        <v>189998</v>
      </c>
      <c r="F131" s="5">
        <f t="shared" si="2"/>
        <v>1709982</v>
      </c>
    </row>
    <row r="132" spans="1:6" ht="18" hidden="1" x14ac:dyDescent="0.35">
      <c r="A132" s="2" t="s">
        <v>39</v>
      </c>
      <c r="B132" s="2" t="s">
        <v>70</v>
      </c>
      <c r="C132" s="2" t="s">
        <v>57</v>
      </c>
      <c r="D132" s="2">
        <v>15</v>
      </c>
      <c r="E132" s="5">
        <f>IF(C132="", "", IFERROR(VLOOKUP(C132, Price_List!A:D, IF(Dashboard!$B$9="樂觀(Snipe)", 3, IF(Dashboard!$B$9="悲觀(Panic)", 4, 2)), 0), 0))</f>
        <v>205000</v>
      </c>
      <c r="F132" s="5">
        <f t="shared" si="2"/>
        <v>3075000</v>
      </c>
    </row>
    <row r="133" spans="1:6" ht="18" hidden="1" x14ac:dyDescent="0.35">
      <c r="A133" s="2" t="s">
        <v>39</v>
      </c>
      <c r="B133" s="2" t="s">
        <v>70</v>
      </c>
      <c r="C133" s="2" t="s">
        <v>67</v>
      </c>
      <c r="D133" s="2">
        <v>7</v>
      </c>
      <c r="E133" s="5">
        <f>IF(C133="", "", IFERROR(VLOOKUP(C133, Price_List!A:D, IF(Dashboard!$B$9="樂觀(Snipe)", 3, IF(Dashboard!$B$9="悲觀(Panic)", 4, 2)), 0), 0))</f>
        <v>560000</v>
      </c>
      <c r="F133" s="5">
        <f t="shared" si="2"/>
        <v>3920000</v>
      </c>
    </row>
    <row r="134" spans="1:6" ht="18" hidden="1" x14ac:dyDescent="0.35">
      <c r="A134" s="2" t="s">
        <v>39</v>
      </c>
      <c r="B134" s="2" t="s">
        <v>70</v>
      </c>
      <c r="C134" s="2" t="s">
        <v>80</v>
      </c>
      <c r="D134" s="2">
        <v>3</v>
      </c>
      <c r="E134" s="5">
        <f>IF(C134="", "", IFERROR(VLOOKUP(C134, Price_List!A:D, IF(Dashboard!$B$9="樂觀(Snipe)", 3, IF(Dashboard!$B$9="悲觀(Panic)", 4, 2)), 0), 0))</f>
        <v>10400000</v>
      </c>
      <c r="F134" s="5">
        <f t="shared" si="2"/>
        <v>31200000</v>
      </c>
    </row>
    <row r="135" spans="1:6" ht="18" hidden="1" x14ac:dyDescent="0.35">
      <c r="A135" s="2" t="s">
        <v>39</v>
      </c>
      <c r="B135" s="2" t="s">
        <v>70</v>
      </c>
      <c r="C135" s="2" t="s">
        <v>86</v>
      </c>
      <c r="D135" s="2">
        <v>17</v>
      </c>
      <c r="E135" s="5">
        <f>IF(C135="", "", IFERROR(VLOOKUP(C135, Price_List!A:D, IF(Dashboard!$B$9="樂觀(Snipe)", 3, IF(Dashboard!$B$9="悲觀(Panic)", 4, 2)), 0), 0))</f>
        <v>10998</v>
      </c>
      <c r="F135" s="5">
        <f t="shared" si="2"/>
        <v>186966</v>
      </c>
    </row>
    <row r="136" spans="1:6" ht="18" hidden="1" x14ac:dyDescent="0.35">
      <c r="A136" s="2" t="s">
        <v>39</v>
      </c>
      <c r="B136" s="6" t="s">
        <v>112</v>
      </c>
      <c r="C136" s="2" t="s">
        <v>47</v>
      </c>
      <c r="D136" s="2">
        <v>3</v>
      </c>
      <c r="E136" s="5">
        <f>IF(C136="", "", IFERROR(VLOOKUP(C136, Price_List!A:D, IF(Dashboard!$B$9="樂觀(Snipe)", 3, IF(Dashboard!$B$9="悲觀(Panic)", 4, 2)), 0), 0))</f>
        <v>2199999</v>
      </c>
      <c r="F136" s="5">
        <f t="shared" si="2"/>
        <v>6599997</v>
      </c>
    </row>
    <row r="137" spans="1:6" ht="18" hidden="1" x14ac:dyDescent="0.35">
      <c r="A137" s="2" t="s">
        <v>39</v>
      </c>
      <c r="B137" s="6" t="s">
        <v>112</v>
      </c>
      <c r="C137" s="2" t="s">
        <v>49</v>
      </c>
      <c r="D137" s="2">
        <v>5</v>
      </c>
      <c r="E137" s="5">
        <f>IF(C137="", "", IFERROR(VLOOKUP(C137, Price_List!A:D, IF(Dashboard!$B$9="樂觀(Snipe)", 3, IF(Dashboard!$B$9="悲觀(Panic)", 4, 2)), 0), 0))</f>
        <v>1650000</v>
      </c>
      <c r="F137" s="5">
        <f t="shared" si="2"/>
        <v>8250000</v>
      </c>
    </row>
    <row r="138" spans="1:6" ht="18" hidden="1" x14ac:dyDescent="0.35">
      <c r="A138" s="2" t="s">
        <v>39</v>
      </c>
      <c r="B138" s="6" t="s">
        <v>112</v>
      </c>
      <c r="C138" s="2" t="s">
        <v>51</v>
      </c>
      <c r="D138" s="2">
        <v>11</v>
      </c>
      <c r="E138" s="5">
        <f>IF(C138="", "", IFERROR(VLOOKUP(C138, Price_List!A:D, IF(Dashboard!$B$9="樂觀(Snipe)", 3, IF(Dashboard!$B$9="悲觀(Panic)", 4, 2)), 0), 0))</f>
        <v>899999</v>
      </c>
      <c r="F138" s="5">
        <f t="shared" si="2"/>
        <v>9899989</v>
      </c>
    </row>
    <row r="139" spans="1:6" ht="18" hidden="1" x14ac:dyDescent="0.35">
      <c r="A139" s="2" t="s">
        <v>39</v>
      </c>
      <c r="B139" s="6" t="s">
        <v>112</v>
      </c>
      <c r="C139" s="2" t="s">
        <v>55</v>
      </c>
      <c r="D139" s="2">
        <v>11</v>
      </c>
      <c r="E139" s="5">
        <f>IF(C139="", "", IFERROR(VLOOKUP(C139, Price_List!A:D, IF(Dashboard!$B$9="樂觀(Snipe)", 3, IF(Dashboard!$B$9="悲觀(Panic)", 4, 2)), 0), 0))</f>
        <v>189998</v>
      </c>
      <c r="F139" s="5">
        <f t="shared" si="2"/>
        <v>2089978</v>
      </c>
    </row>
    <row r="140" spans="1:6" ht="18" hidden="1" x14ac:dyDescent="0.35">
      <c r="A140" s="2" t="s">
        <v>39</v>
      </c>
      <c r="B140" s="6" t="s">
        <v>112</v>
      </c>
      <c r="C140" s="2" t="s">
        <v>57</v>
      </c>
      <c r="D140" s="2">
        <v>18</v>
      </c>
      <c r="E140" s="5">
        <f>IF(C140="", "", IFERROR(VLOOKUP(C140, Price_List!A:D, IF(Dashboard!$B$9="樂觀(Snipe)", 3, IF(Dashboard!$B$9="悲觀(Panic)", 4, 2)), 0), 0))</f>
        <v>205000</v>
      </c>
      <c r="F140" s="5">
        <f t="shared" si="2"/>
        <v>3690000</v>
      </c>
    </row>
    <row r="141" spans="1:6" ht="18" hidden="1" x14ac:dyDescent="0.35">
      <c r="A141" s="2" t="s">
        <v>39</v>
      </c>
      <c r="B141" s="6" t="s">
        <v>112</v>
      </c>
      <c r="C141" s="2" t="s">
        <v>67</v>
      </c>
      <c r="D141" s="2">
        <v>8</v>
      </c>
      <c r="E141" s="5">
        <f>IF(C141="", "", IFERROR(VLOOKUP(C141, Price_List!A:D, IF(Dashboard!$B$9="樂觀(Snipe)", 3, IF(Dashboard!$B$9="悲觀(Panic)", 4, 2)), 0), 0))</f>
        <v>560000</v>
      </c>
      <c r="F141" s="5">
        <f t="shared" si="2"/>
        <v>4480000</v>
      </c>
    </row>
    <row r="142" spans="1:6" ht="18" hidden="1" x14ac:dyDescent="0.35">
      <c r="A142" s="2" t="s">
        <v>39</v>
      </c>
      <c r="B142" s="6" t="s">
        <v>112</v>
      </c>
      <c r="C142" s="2" t="s">
        <v>77</v>
      </c>
      <c r="D142" s="2">
        <v>3</v>
      </c>
      <c r="E142" s="5">
        <f>IF(C142="", "", IFERROR(VLOOKUP(C142, Price_List!A:D, IF(Dashboard!$B$9="樂觀(Snipe)", 3, IF(Dashboard!$B$9="悲觀(Panic)", 4, 2)), 0), 0))</f>
        <v>10101008</v>
      </c>
      <c r="F142" s="5">
        <f t="shared" si="2"/>
        <v>30303024</v>
      </c>
    </row>
    <row r="143" spans="1:6" ht="18" hidden="1" x14ac:dyDescent="0.35">
      <c r="A143" s="2" t="s">
        <v>39</v>
      </c>
      <c r="B143" s="6" t="s">
        <v>112</v>
      </c>
      <c r="C143" s="2" t="s">
        <v>86</v>
      </c>
      <c r="D143" s="2">
        <v>20</v>
      </c>
      <c r="E143" s="5">
        <f>IF(C143="", "", IFERROR(VLOOKUP(C143, Price_List!A:D, IF(Dashboard!$B$9="樂觀(Snipe)", 3, IF(Dashboard!$B$9="悲觀(Panic)", 4, 2)), 0), 0))</f>
        <v>10998</v>
      </c>
      <c r="F143" s="5">
        <f t="shared" si="2"/>
        <v>219960</v>
      </c>
    </row>
    <row r="144" spans="1:6" ht="18" hidden="1" x14ac:dyDescent="0.35">
      <c r="A144" s="2" t="s">
        <v>39</v>
      </c>
      <c r="B144" s="2" t="s">
        <v>74</v>
      </c>
      <c r="C144" s="2" t="s">
        <v>42</v>
      </c>
      <c r="D144" s="2">
        <v>26</v>
      </c>
      <c r="E144" s="5">
        <f>IF(C144="", "", IFERROR(VLOOKUP(C144, Price_List!A:D, IF(Dashboard!$B$9="樂觀(Snipe)", 3, IF(Dashboard!$B$9="悲觀(Panic)", 4, 2)), 0), 0))</f>
        <v>11900</v>
      </c>
      <c r="F144" s="5">
        <f t="shared" si="2"/>
        <v>309400</v>
      </c>
    </row>
    <row r="145" spans="1:6" ht="18" hidden="1" x14ac:dyDescent="0.35">
      <c r="A145" s="2" t="s">
        <v>39</v>
      </c>
      <c r="B145" s="2" t="s">
        <v>74</v>
      </c>
      <c r="C145" s="2" t="s">
        <v>47</v>
      </c>
      <c r="D145" s="2">
        <v>4</v>
      </c>
      <c r="E145" s="5">
        <f>IF(C145="", "", IFERROR(VLOOKUP(C145, Price_List!A:D, IF(Dashboard!$B$9="樂觀(Snipe)", 3, IF(Dashboard!$B$9="悲觀(Panic)", 4, 2)), 0), 0))</f>
        <v>2199999</v>
      </c>
      <c r="F145" s="5">
        <f t="shared" si="2"/>
        <v>8799996</v>
      </c>
    </row>
    <row r="146" spans="1:6" ht="18" hidden="1" x14ac:dyDescent="0.35">
      <c r="A146" s="2" t="s">
        <v>39</v>
      </c>
      <c r="B146" s="2" t="s">
        <v>74</v>
      </c>
      <c r="C146" s="2" t="s">
        <v>49</v>
      </c>
      <c r="D146" s="2">
        <v>7</v>
      </c>
      <c r="E146" s="5">
        <f>IF(C146="", "", IFERROR(VLOOKUP(C146, Price_List!A:D, IF(Dashboard!$B$9="樂觀(Snipe)", 3, IF(Dashboard!$B$9="悲觀(Panic)", 4, 2)), 0), 0))</f>
        <v>1650000</v>
      </c>
      <c r="F146" s="5">
        <f t="shared" si="2"/>
        <v>11550000</v>
      </c>
    </row>
    <row r="147" spans="1:6" ht="18" hidden="1" x14ac:dyDescent="0.35">
      <c r="A147" s="2" t="s">
        <v>39</v>
      </c>
      <c r="B147" s="2" t="s">
        <v>74</v>
      </c>
      <c r="C147" s="2" t="s">
        <v>51</v>
      </c>
      <c r="D147" s="2">
        <v>14</v>
      </c>
      <c r="E147" s="5">
        <f>IF(C147="", "", IFERROR(VLOOKUP(C147, Price_List!A:D, IF(Dashboard!$B$9="樂觀(Snipe)", 3, IF(Dashboard!$B$9="悲觀(Panic)", 4, 2)), 0), 0))</f>
        <v>899999</v>
      </c>
      <c r="F147" s="5">
        <f t="shared" si="2"/>
        <v>12599986</v>
      </c>
    </row>
    <row r="148" spans="1:6" ht="18" hidden="1" x14ac:dyDescent="0.35">
      <c r="A148" s="2" t="s">
        <v>39</v>
      </c>
      <c r="B148" s="2" t="s">
        <v>74</v>
      </c>
      <c r="C148" s="2" t="s">
        <v>55</v>
      </c>
      <c r="D148" s="2">
        <v>14</v>
      </c>
      <c r="E148" s="5">
        <f>IF(C148="", "", IFERROR(VLOOKUP(C148, Price_List!A:D, IF(Dashboard!$B$9="樂觀(Snipe)", 3, IF(Dashboard!$B$9="悲觀(Panic)", 4, 2)), 0), 0))</f>
        <v>189998</v>
      </c>
      <c r="F148" s="5">
        <f t="shared" si="2"/>
        <v>2659972</v>
      </c>
    </row>
    <row r="149" spans="1:6" ht="18" hidden="1" x14ac:dyDescent="0.35">
      <c r="A149" s="2" t="s">
        <v>39</v>
      </c>
      <c r="B149" s="2" t="s">
        <v>74</v>
      </c>
      <c r="C149" s="2" t="s">
        <v>59</v>
      </c>
      <c r="D149" s="2">
        <v>22</v>
      </c>
      <c r="E149" s="5">
        <f>IF(C149="", "", IFERROR(VLOOKUP(C149, Price_List!A:D, IF(Dashboard!$B$9="樂觀(Snipe)", 3, IF(Dashboard!$B$9="悲觀(Panic)", 4, 2)), 0), 0))</f>
        <v>195497</v>
      </c>
      <c r="F149" s="5">
        <f t="shared" si="2"/>
        <v>4300934</v>
      </c>
    </row>
    <row r="150" spans="1:6" ht="18" hidden="1" x14ac:dyDescent="0.35">
      <c r="A150" s="2" t="s">
        <v>39</v>
      </c>
      <c r="B150" s="2" t="s">
        <v>74</v>
      </c>
      <c r="C150" s="2" t="s">
        <v>67</v>
      </c>
      <c r="D150" s="2">
        <v>10</v>
      </c>
      <c r="E150" s="5">
        <f>IF(C150="", "", IFERROR(VLOOKUP(C150, Price_List!A:D, IF(Dashboard!$B$9="樂觀(Snipe)", 3, IF(Dashboard!$B$9="悲觀(Panic)", 4, 2)), 0), 0))</f>
        <v>560000</v>
      </c>
      <c r="F150" s="5">
        <f t="shared" si="2"/>
        <v>5600000</v>
      </c>
    </row>
    <row r="151" spans="1:6" ht="18" hidden="1" x14ac:dyDescent="0.35">
      <c r="A151" s="2" t="s">
        <v>39</v>
      </c>
      <c r="B151" s="2" t="s">
        <v>74</v>
      </c>
      <c r="C151" s="2" t="s">
        <v>82</v>
      </c>
      <c r="D151" s="2">
        <v>3</v>
      </c>
      <c r="E151" s="5">
        <f>IF(C151="", "", IFERROR(VLOOKUP(C151, Price_List!A:D, IF(Dashboard!$B$9="樂觀(Snipe)", 3, IF(Dashboard!$B$9="悲觀(Panic)", 4, 2)), 0), 0))</f>
        <v>2749000</v>
      </c>
      <c r="F151" s="5">
        <f t="shared" si="2"/>
        <v>8247000</v>
      </c>
    </row>
    <row r="152" spans="1:6" ht="18" hidden="1" x14ac:dyDescent="0.35">
      <c r="A152" s="2" t="s">
        <v>39</v>
      </c>
      <c r="B152" s="6" t="s">
        <v>111</v>
      </c>
      <c r="C152" s="2" t="s">
        <v>47</v>
      </c>
      <c r="D152" s="2">
        <v>4</v>
      </c>
      <c r="E152" s="5">
        <f>IF(C152="", "", IFERROR(VLOOKUP(C152, Price_List!A:D, IF(Dashboard!$B$9="樂觀(Snipe)", 3, IF(Dashboard!$B$9="悲觀(Panic)", 4, 2)), 0), 0))</f>
        <v>2199999</v>
      </c>
      <c r="F152" s="5">
        <f t="shared" si="2"/>
        <v>8799996</v>
      </c>
    </row>
    <row r="153" spans="1:6" ht="18" hidden="1" x14ac:dyDescent="0.35">
      <c r="A153" s="2" t="s">
        <v>39</v>
      </c>
      <c r="B153" s="6" t="s">
        <v>111</v>
      </c>
      <c r="C153" s="2" t="s">
        <v>49</v>
      </c>
      <c r="D153" s="2">
        <v>7</v>
      </c>
      <c r="E153" s="5">
        <f>IF(C153="", "", IFERROR(VLOOKUP(C153, Price_List!A:D, IF(Dashboard!$B$9="樂觀(Snipe)", 3, IF(Dashboard!$B$9="悲觀(Panic)", 4, 2)), 0), 0))</f>
        <v>1650000</v>
      </c>
      <c r="F153" s="5">
        <f t="shared" si="2"/>
        <v>11550000</v>
      </c>
    </row>
    <row r="154" spans="1:6" ht="18" hidden="1" x14ac:dyDescent="0.35">
      <c r="A154" s="2" t="s">
        <v>39</v>
      </c>
      <c r="B154" s="6" t="s">
        <v>111</v>
      </c>
      <c r="C154" s="2" t="s">
        <v>51</v>
      </c>
      <c r="D154" s="2">
        <v>14</v>
      </c>
      <c r="E154" s="5">
        <f>IF(C154="", "", IFERROR(VLOOKUP(C154, Price_List!A:D, IF(Dashboard!$B$9="樂觀(Snipe)", 3, IF(Dashboard!$B$9="悲觀(Panic)", 4, 2)), 0), 0))</f>
        <v>899999</v>
      </c>
      <c r="F154" s="5">
        <f t="shared" si="2"/>
        <v>12599986</v>
      </c>
    </row>
    <row r="155" spans="1:6" ht="18" hidden="1" x14ac:dyDescent="0.35">
      <c r="A155" s="2" t="s">
        <v>39</v>
      </c>
      <c r="B155" s="6" t="s">
        <v>111</v>
      </c>
      <c r="C155" s="2" t="s">
        <v>55</v>
      </c>
      <c r="D155" s="2">
        <v>14</v>
      </c>
      <c r="E155" s="5">
        <f>IF(C155="", "", IFERROR(VLOOKUP(C155, Price_List!A:D, IF(Dashboard!$B$9="樂觀(Snipe)", 3, IF(Dashboard!$B$9="悲觀(Panic)", 4, 2)), 0), 0))</f>
        <v>189998</v>
      </c>
      <c r="F155" s="5">
        <f t="shared" si="2"/>
        <v>2659972</v>
      </c>
    </row>
    <row r="156" spans="1:6" ht="18" hidden="1" x14ac:dyDescent="0.35">
      <c r="A156" s="2" t="s">
        <v>39</v>
      </c>
      <c r="B156" s="6" t="s">
        <v>111</v>
      </c>
      <c r="C156" s="2" t="s">
        <v>57</v>
      </c>
      <c r="D156" s="2">
        <v>24</v>
      </c>
      <c r="E156" s="5">
        <f>IF(C156="", "", IFERROR(VLOOKUP(C156, Price_List!A:D, IF(Dashboard!$B$9="樂觀(Snipe)", 3, IF(Dashboard!$B$9="悲觀(Panic)", 4, 2)), 0), 0))</f>
        <v>205000</v>
      </c>
      <c r="F156" s="5">
        <f t="shared" si="2"/>
        <v>4920000</v>
      </c>
    </row>
    <row r="157" spans="1:6" ht="18" hidden="1" x14ac:dyDescent="0.35">
      <c r="A157" s="2" t="s">
        <v>39</v>
      </c>
      <c r="B157" s="6" t="s">
        <v>111</v>
      </c>
      <c r="C157" s="2" t="s">
        <v>67</v>
      </c>
      <c r="D157" s="2">
        <v>10</v>
      </c>
      <c r="E157" s="5">
        <f>IF(C157="", "", IFERROR(VLOOKUP(C157, Price_List!A:D, IF(Dashboard!$B$9="樂觀(Snipe)", 3, IF(Dashboard!$B$9="悲觀(Panic)", 4, 2)), 0), 0))</f>
        <v>560000</v>
      </c>
      <c r="F157" s="5">
        <f t="shared" si="2"/>
        <v>5600000</v>
      </c>
    </row>
    <row r="158" spans="1:6" ht="18" hidden="1" x14ac:dyDescent="0.35">
      <c r="A158" s="2" t="s">
        <v>39</v>
      </c>
      <c r="B158" s="6" t="s">
        <v>111</v>
      </c>
      <c r="C158" s="2" t="s">
        <v>75</v>
      </c>
      <c r="D158" s="2">
        <v>3</v>
      </c>
      <c r="E158" s="5">
        <f>IF(C158="", "", IFERROR(VLOOKUP(C158, Price_List!A:D, IF(Dashboard!$B$9="樂觀(Snipe)", 3, IF(Dashboard!$B$9="悲觀(Panic)", 4, 2)), 0), 0))</f>
        <v>12000000</v>
      </c>
      <c r="F158" s="5">
        <f t="shared" si="2"/>
        <v>36000000</v>
      </c>
    </row>
    <row r="159" spans="1:6" ht="18" hidden="1" x14ac:dyDescent="0.35">
      <c r="A159" s="2" t="s">
        <v>39</v>
      </c>
      <c r="B159" s="6" t="s">
        <v>111</v>
      </c>
      <c r="C159" s="2" t="s">
        <v>86</v>
      </c>
      <c r="D159" s="2">
        <v>27</v>
      </c>
      <c r="E159" s="5">
        <f>IF(C159="", "", IFERROR(VLOOKUP(C159, Price_List!A:D, IF(Dashboard!$B$9="樂觀(Snipe)", 3, IF(Dashboard!$B$9="悲觀(Panic)", 4, 2)), 0), 0))</f>
        <v>10998</v>
      </c>
      <c r="F159" s="5">
        <f t="shared" si="2"/>
        <v>296946</v>
      </c>
    </row>
    <row r="160" spans="1:6" ht="18" hidden="1" x14ac:dyDescent="0.35">
      <c r="A160" s="2" t="s">
        <v>39</v>
      </c>
      <c r="B160" s="2" t="s">
        <v>64</v>
      </c>
      <c r="C160" s="2" t="s">
        <v>47</v>
      </c>
      <c r="D160" s="2">
        <v>2</v>
      </c>
      <c r="E160" s="5">
        <f>IF(C160="", "", IFERROR(VLOOKUP(C160, Price_List!A:D, IF(Dashboard!$B$9="樂觀(Snipe)", 3, IF(Dashboard!$B$9="悲觀(Panic)", 4, 2)), 0), 0))</f>
        <v>2199999</v>
      </c>
      <c r="F160" s="5">
        <f t="shared" si="2"/>
        <v>4399998</v>
      </c>
    </row>
    <row r="161" spans="1:6" ht="18" hidden="1" x14ac:dyDescent="0.35">
      <c r="A161" s="2" t="s">
        <v>39</v>
      </c>
      <c r="B161" s="2" t="s">
        <v>64</v>
      </c>
      <c r="C161" s="2" t="s">
        <v>49</v>
      </c>
      <c r="D161" s="2">
        <v>4</v>
      </c>
      <c r="E161" s="5">
        <f>IF(C161="", "", IFERROR(VLOOKUP(C161, Price_List!A:D, IF(Dashboard!$B$9="樂觀(Snipe)", 3, IF(Dashboard!$B$9="悲觀(Panic)", 4, 2)), 0), 0))</f>
        <v>1650000</v>
      </c>
      <c r="F161" s="5">
        <f t="shared" si="2"/>
        <v>6600000</v>
      </c>
    </row>
    <row r="162" spans="1:6" ht="18" hidden="1" x14ac:dyDescent="0.35">
      <c r="A162" s="2" t="s">
        <v>39</v>
      </c>
      <c r="B162" s="2" t="s">
        <v>64</v>
      </c>
      <c r="C162" s="2" t="s">
        <v>51</v>
      </c>
      <c r="D162" s="2">
        <v>9</v>
      </c>
      <c r="E162" s="5">
        <f>IF(C162="", "", IFERROR(VLOOKUP(C162, Price_List!A:D, IF(Dashboard!$B$9="樂觀(Snipe)", 3, IF(Dashboard!$B$9="悲觀(Panic)", 4, 2)), 0), 0))</f>
        <v>899999</v>
      </c>
      <c r="F162" s="5">
        <f t="shared" si="2"/>
        <v>8099991</v>
      </c>
    </row>
    <row r="163" spans="1:6" ht="18" hidden="1" x14ac:dyDescent="0.35">
      <c r="A163" s="2" t="s">
        <v>39</v>
      </c>
      <c r="B163" s="2" t="s">
        <v>64</v>
      </c>
      <c r="C163" s="2" t="s">
        <v>55</v>
      </c>
      <c r="D163" s="2">
        <v>9</v>
      </c>
      <c r="E163" s="5">
        <f>IF(C163="", "", IFERROR(VLOOKUP(C163, Price_List!A:D, IF(Dashboard!$B$9="樂觀(Snipe)", 3, IF(Dashboard!$B$9="悲觀(Panic)", 4, 2)), 0), 0))</f>
        <v>189998</v>
      </c>
      <c r="F163" s="5">
        <f t="shared" si="2"/>
        <v>1709982</v>
      </c>
    </row>
    <row r="164" spans="1:6" ht="18" hidden="1" x14ac:dyDescent="0.35">
      <c r="A164" s="2" t="s">
        <v>39</v>
      </c>
      <c r="B164" s="2" t="s">
        <v>64</v>
      </c>
      <c r="C164" s="2" t="s">
        <v>57</v>
      </c>
      <c r="D164" s="2">
        <v>15</v>
      </c>
      <c r="E164" s="5">
        <f>IF(C164="", "", IFERROR(VLOOKUP(C164, Price_List!A:D, IF(Dashboard!$B$9="樂觀(Snipe)", 3, IF(Dashboard!$B$9="悲觀(Panic)", 4, 2)), 0), 0))</f>
        <v>205000</v>
      </c>
      <c r="F164" s="5">
        <f t="shared" si="2"/>
        <v>3075000</v>
      </c>
    </row>
    <row r="165" spans="1:6" ht="18" hidden="1" x14ac:dyDescent="0.35">
      <c r="A165" s="2" t="s">
        <v>39</v>
      </c>
      <c r="B165" s="2" t="s">
        <v>64</v>
      </c>
      <c r="C165" s="2" t="s">
        <v>67</v>
      </c>
      <c r="D165" s="2">
        <v>7</v>
      </c>
      <c r="E165" s="5">
        <f>IF(C165="", "", IFERROR(VLOOKUP(C165, Price_List!A:D, IF(Dashboard!$B$9="樂觀(Snipe)", 3, IF(Dashboard!$B$9="悲觀(Panic)", 4, 2)), 0), 0))</f>
        <v>560000</v>
      </c>
      <c r="F165" s="5">
        <f t="shared" si="2"/>
        <v>3920000</v>
      </c>
    </row>
    <row r="166" spans="1:6" ht="18" hidden="1" x14ac:dyDescent="0.35">
      <c r="A166" s="2" t="s">
        <v>39</v>
      </c>
      <c r="B166" s="2" t="s">
        <v>64</v>
      </c>
      <c r="C166" s="2" t="s">
        <v>73</v>
      </c>
      <c r="D166" s="2">
        <v>3</v>
      </c>
      <c r="E166" s="5">
        <f>IF(C166="", "", IFERROR(VLOOKUP(C166, Price_List!A:D, IF(Dashboard!$B$9="樂觀(Snipe)", 3, IF(Dashboard!$B$9="悲觀(Panic)", 4, 2)), 0), 0))</f>
        <v>9999999</v>
      </c>
      <c r="F166" s="5">
        <f t="shared" si="2"/>
        <v>29999997</v>
      </c>
    </row>
    <row r="167" spans="1:6" ht="18" hidden="1" x14ac:dyDescent="0.35">
      <c r="A167" s="2" t="s">
        <v>39</v>
      </c>
      <c r="B167" s="2" t="s">
        <v>64</v>
      </c>
      <c r="C167" s="2" t="s">
        <v>86</v>
      </c>
      <c r="D167" s="2">
        <v>17</v>
      </c>
      <c r="E167" s="5">
        <f>IF(C167="", "", IFERROR(VLOOKUP(C167, Price_List!A:D, IF(Dashboard!$B$9="樂觀(Snipe)", 3, IF(Dashboard!$B$9="悲觀(Panic)", 4, 2)), 0), 0))</f>
        <v>10998</v>
      </c>
      <c r="F167" s="5">
        <f t="shared" si="2"/>
        <v>186966</v>
      </c>
    </row>
    <row r="168" spans="1:6" ht="18" hidden="1" x14ac:dyDescent="0.35">
      <c r="A168" s="2" t="s">
        <v>39</v>
      </c>
      <c r="B168" s="2" t="s">
        <v>72</v>
      </c>
      <c r="C168" s="2" t="s">
        <v>47</v>
      </c>
      <c r="D168" s="2">
        <v>2</v>
      </c>
      <c r="E168" s="5">
        <f>IF(C168="", "", IFERROR(VLOOKUP(C168, Price_List!A:D, IF(Dashboard!$B$9="樂觀(Snipe)", 3, IF(Dashboard!$B$9="悲觀(Panic)", 4, 2)), 0), 0))</f>
        <v>2199999</v>
      </c>
      <c r="F168" s="5">
        <f t="shared" si="2"/>
        <v>4399998</v>
      </c>
    </row>
    <row r="169" spans="1:6" ht="18" hidden="1" x14ac:dyDescent="0.35">
      <c r="A169" s="2" t="s">
        <v>39</v>
      </c>
      <c r="B169" s="2" t="s">
        <v>72</v>
      </c>
      <c r="C169" s="2" t="s">
        <v>49</v>
      </c>
      <c r="D169" s="2">
        <v>3</v>
      </c>
      <c r="E169" s="5">
        <f>IF(C169="", "", IFERROR(VLOOKUP(C169, Price_List!A:D, IF(Dashboard!$B$9="樂觀(Snipe)", 3, IF(Dashboard!$B$9="悲觀(Panic)", 4, 2)), 0), 0))</f>
        <v>1650000</v>
      </c>
      <c r="F169" s="5">
        <f t="shared" si="2"/>
        <v>4950000</v>
      </c>
    </row>
    <row r="170" spans="1:6" ht="18" hidden="1" x14ac:dyDescent="0.35">
      <c r="A170" s="2" t="s">
        <v>39</v>
      </c>
      <c r="B170" s="2" t="s">
        <v>72</v>
      </c>
      <c r="C170" s="2" t="s">
        <v>51</v>
      </c>
      <c r="D170" s="2">
        <v>7</v>
      </c>
      <c r="E170" s="5">
        <f>IF(C170="", "", IFERROR(VLOOKUP(C170, Price_List!A:D, IF(Dashboard!$B$9="樂觀(Snipe)", 3, IF(Dashboard!$B$9="悲觀(Panic)", 4, 2)), 0), 0))</f>
        <v>899999</v>
      </c>
      <c r="F170" s="5">
        <f t="shared" si="2"/>
        <v>6299993</v>
      </c>
    </row>
    <row r="171" spans="1:6" ht="18" hidden="1" x14ac:dyDescent="0.35">
      <c r="A171" s="2" t="s">
        <v>39</v>
      </c>
      <c r="B171" s="2" t="s">
        <v>72</v>
      </c>
      <c r="C171" s="2" t="s">
        <v>55</v>
      </c>
      <c r="D171" s="2">
        <v>7</v>
      </c>
      <c r="E171" s="5">
        <f>IF(C171="", "", IFERROR(VLOOKUP(C171, Price_List!A:D, IF(Dashboard!$B$9="樂觀(Snipe)", 3, IF(Dashboard!$B$9="悲觀(Panic)", 4, 2)), 0), 0))</f>
        <v>189998</v>
      </c>
      <c r="F171" s="5">
        <f t="shared" si="2"/>
        <v>1329986</v>
      </c>
    </row>
    <row r="172" spans="1:6" ht="18" hidden="1" x14ac:dyDescent="0.35">
      <c r="A172" s="2" t="s">
        <v>39</v>
      </c>
      <c r="B172" s="2" t="s">
        <v>72</v>
      </c>
      <c r="C172" s="2" t="s">
        <v>57</v>
      </c>
      <c r="D172" s="2">
        <v>12</v>
      </c>
      <c r="E172" s="5">
        <f>IF(C172="", "", IFERROR(VLOOKUP(C172, Price_List!A:D, IF(Dashboard!$B$9="樂觀(Snipe)", 3, IF(Dashboard!$B$9="悲觀(Panic)", 4, 2)), 0), 0))</f>
        <v>205000</v>
      </c>
      <c r="F172" s="5">
        <f t="shared" si="2"/>
        <v>2460000</v>
      </c>
    </row>
    <row r="173" spans="1:6" ht="18" hidden="1" x14ac:dyDescent="0.35">
      <c r="A173" s="2" t="s">
        <v>39</v>
      </c>
      <c r="B173" s="2" t="s">
        <v>72</v>
      </c>
      <c r="C173" s="2" t="s">
        <v>67</v>
      </c>
      <c r="D173" s="2">
        <v>6</v>
      </c>
      <c r="E173" s="5">
        <f>IF(C173="", "", IFERROR(VLOOKUP(C173, Price_List!A:D, IF(Dashboard!$B$9="樂觀(Snipe)", 3, IF(Dashboard!$B$9="悲觀(Panic)", 4, 2)), 0), 0))</f>
        <v>560000</v>
      </c>
      <c r="F173" s="5">
        <f t="shared" si="2"/>
        <v>3360000</v>
      </c>
    </row>
    <row r="174" spans="1:6" ht="18" hidden="1" x14ac:dyDescent="0.35">
      <c r="A174" s="2" t="s">
        <v>39</v>
      </c>
      <c r="B174" s="2" t="s">
        <v>72</v>
      </c>
      <c r="C174" s="2" t="s">
        <v>71</v>
      </c>
      <c r="D174" s="2">
        <v>3</v>
      </c>
      <c r="E174" s="5">
        <f>IF(C174="", "", IFERROR(VLOOKUP(C174, Price_List!A:D, IF(Dashboard!$B$9="樂觀(Snipe)", 3, IF(Dashboard!$B$9="悲觀(Panic)", 4, 2)), 0), 0))</f>
        <v>10500000</v>
      </c>
      <c r="F174" s="5">
        <f t="shared" si="2"/>
        <v>31500000</v>
      </c>
    </row>
    <row r="175" spans="1:6" ht="18" hidden="1" x14ac:dyDescent="0.35">
      <c r="A175" s="2" t="s">
        <v>39</v>
      </c>
      <c r="B175" s="2" t="s">
        <v>72</v>
      </c>
      <c r="C175" s="2" t="s">
        <v>86</v>
      </c>
      <c r="D175" s="2">
        <v>14</v>
      </c>
      <c r="E175" s="5">
        <f>IF(C175="", "", IFERROR(VLOOKUP(C175, Price_List!A:D, IF(Dashboard!$B$9="樂觀(Snipe)", 3, IF(Dashboard!$B$9="悲觀(Panic)", 4, 2)), 0), 0))</f>
        <v>10998</v>
      </c>
      <c r="F175" s="5">
        <f t="shared" si="2"/>
        <v>153972</v>
      </c>
    </row>
    <row r="176" spans="1:6" ht="18" hidden="1" x14ac:dyDescent="0.35">
      <c r="A176" s="2" t="s">
        <v>39</v>
      </c>
      <c r="B176" s="2" t="s">
        <v>78</v>
      </c>
      <c r="C176" s="2" t="s">
        <v>42</v>
      </c>
      <c r="D176" s="2">
        <v>21</v>
      </c>
      <c r="E176" s="5">
        <f>IF(C176="", "", IFERROR(VLOOKUP(C176, Price_List!A:D, IF(Dashboard!$B$9="樂觀(Snipe)", 3, IF(Dashboard!$B$9="悲觀(Panic)", 4, 2)), 0), 0))</f>
        <v>11900</v>
      </c>
      <c r="F176" s="5">
        <f t="shared" si="2"/>
        <v>249900</v>
      </c>
    </row>
    <row r="177" spans="1:6" ht="18" hidden="1" x14ac:dyDescent="0.35">
      <c r="A177" s="2" t="s">
        <v>39</v>
      </c>
      <c r="B177" s="2" t="s">
        <v>78</v>
      </c>
      <c r="C177" s="2" t="s">
        <v>47</v>
      </c>
      <c r="D177" s="2">
        <v>2</v>
      </c>
      <c r="E177" s="5">
        <f>IF(C177="", "", IFERROR(VLOOKUP(C177, Price_List!A:D, IF(Dashboard!$B$9="樂觀(Snipe)", 3, IF(Dashboard!$B$9="悲觀(Panic)", 4, 2)), 0), 0))</f>
        <v>2199999</v>
      </c>
      <c r="F177" s="5">
        <f t="shared" si="2"/>
        <v>4399998</v>
      </c>
    </row>
    <row r="178" spans="1:6" ht="18" hidden="1" x14ac:dyDescent="0.35">
      <c r="A178" s="2" t="s">
        <v>39</v>
      </c>
      <c r="B178" s="2" t="s">
        <v>78</v>
      </c>
      <c r="C178" s="2" t="s">
        <v>49</v>
      </c>
      <c r="D178" s="2">
        <v>4</v>
      </c>
      <c r="E178" s="5">
        <f>IF(C178="", "", IFERROR(VLOOKUP(C178, Price_List!A:D, IF(Dashboard!$B$9="樂觀(Snipe)", 3, IF(Dashboard!$B$9="悲觀(Panic)", 4, 2)), 0), 0))</f>
        <v>1650000</v>
      </c>
      <c r="F178" s="5">
        <f t="shared" si="2"/>
        <v>6600000</v>
      </c>
    </row>
    <row r="179" spans="1:6" ht="18" hidden="1" x14ac:dyDescent="0.35">
      <c r="A179" s="2" t="s">
        <v>39</v>
      </c>
      <c r="B179" s="2" t="s">
        <v>78</v>
      </c>
      <c r="C179" s="2" t="s">
        <v>51</v>
      </c>
      <c r="D179" s="2">
        <v>8</v>
      </c>
      <c r="E179" s="5">
        <f>IF(C179="", "", IFERROR(VLOOKUP(C179, Price_List!A:D, IF(Dashboard!$B$9="樂觀(Snipe)", 3, IF(Dashboard!$B$9="悲觀(Panic)", 4, 2)), 0), 0))</f>
        <v>899999</v>
      </c>
      <c r="F179" s="5">
        <f t="shared" si="2"/>
        <v>7199992</v>
      </c>
    </row>
    <row r="180" spans="1:6" ht="18" hidden="1" x14ac:dyDescent="0.35">
      <c r="A180" s="2" t="s">
        <v>39</v>
      </c>
      <c r="B180" s="2" t="s">
        <v>78</v>
      </c>
      <c r="C180" s="2" t="s">
        <v>55</v>
      </c>
      <c r="D180" s="2">
        <v>8</v>
      </c>
      <c r="E180" s="5">
        <f>IF(C180="", "", IFERROR(VLOOKUP(C180, Price_List!A:D, IF(Dashboard!$B$9="樂觀(Snipe)", 3, IF(Dashboard!$B$9="悲觀(Panic)", 4, 2)), 0), 0))</f>
        <v>189998</v>
      </c>
      <c r="F180" s="5">
        <f t="shared" si="2"/>
        <v>1519984</v>
      </c>
    </row>
    <row r="181" spans="1:6" ht="18" hidden="1" x14ac:dyDescent="0.35">
      <c r="A181" s="2" t="s">
        <v>39</v>
      </c>
      <c r="B181" s="2" t="s">
        <v>78</v>
      </c>
      <c r="C181" s="2" t="s">
        <v>63</v>
      </c>
      <c r="D181" s="2">
        <v>13</v>
      </c>
      <c r="E181" s="5">
        <f>IF(C181="", "", IFERROR(VLOOKUP(C181, Price_List!A:D, IF(Dashboard!$B$9="樂觀(Snipe)", 3, IF(Dashboard!$B$9="悲觀(Panic)", 4, 2)), 0), 0))</f>
        <v>208996</v>
      </c>
      <c r="F181" s="5">
        <f t="shared" si="2"/>
        <v>2716948</v>
      </c>
    </row>
    <row r="182" spans="1:6" ht="18" hidden="1" x14ac:dyDescent="0.35">
      <c r="A182" s="2" t="s">
        <v>39</v>
      </c>
      <c r="B182" s="2" t="s">
        <v>78</v>
      </c>
      <c r="C182" s="2" t="s">
        <v>67</v>
      </c>
      <c r="D182" s="2">
        <v>8</v>
      </c>
      <c r="E182" s="5">
        <f>IF(C182="", "", IFERROR(VLOOKUP(C182, Price_List!A:D, IF(Dashboard!$B$9="樂觀(Snipe)", 3, IF(Dashboard!$B$9="悲觀(Panic)", 4, 2)), 0), 0))</f>
        <v>560000</v>
      </c>
      <c r="F182" s="5">
        <f t="shared" si="2"/>
        <v>4480000</v>
      </c>
    </row>
    <row r="183" spans="1:6" ht="18" hidden="1" x14ac:dyDescent="0.35">
      <c r="A183" s="2" t="s">
        <v>39</v>
      </c>
      <c r="B183" s="2" t="s">
        <v>78</v>
      </c>
      <c r="C183" s="2" t="s">
        <v>84</v>
      </c>
      <c r="D183" s="2">
        <v>3</v>
      </c>
      <c r="E183" s="5">
        <f>IF(C183="", "", IFERROR(VLOOKUP(C183, Price_List!A:D, IF(Dashboard!$B$9="樂觀(Snipe)", 3, IF(Dashboard!$B$9="悲觀(Panic)", 4, 2)), 0), 0))</f>
        <v>2118888</v>
      </c>
      <c r="F183" s="5">
        <f t="shared" si="2"/>
        <v>6356664</v>
      </c>
    </row>
    <row r="184" spans="1:6" ht="18" hidden="1" x14ac:dyDescent="0.35">
      <c r="A184" s="2" t="s">
        <v>39</v>
      </c>
      <c r="B184" s="2" t="s">
        <v>76</v>
      </c>
      <c r="C184" s="2" t="s">
        <v>42</v>
      </c>
      <c r="D184" s="2">
        <v>21</v>
      </c>
      <c r="E184" s="5">
        <f>IF(C184="", "", IFERROR(VLOOKUP(C184, Price_List!A:D, IF(Dashboard!$B$9="樂觀(Snipe)", 3, IF(Dashboard!$B$9="悲觀(Panic)", 4, 2)), 0), 0))</f>
        <v>11900</v>
      </c>
      <c r="F184" s="5">
        <f t="shared" si="2"/>
        <v>249900</v>
      </c>
    </row>
    <row r="185" spans="1:6" ht="18" hidden="1" x14ac:dyDescent="0.35">
      <c r="A185" s="2" t="s">
        <v>39</v>
      </c>
      <c r="B185" s="2" t="s">
        <v>76</v>
      </c>
      <c r="C185" s="2" t="s">
        <v>47</v>
      </c>
      <c r="D185" s="2">
        <v>3</v>
      </c>
      <c r="E185" s="5">
        <f>IF(C185="", "", IFERROR(VLOOKUP(C185, Price_List!A:D, IF(Dashboard!$B$9="樂觀(Snipe)", 3, IF(Dashboard!$B$9="悲觀(Panic)", 4, 2)), 0), 0))</f>
        <v>2199999</v>
      </c>
      <c r="F185" s="5">
        <f t="shared" si="2"/>
        <v>6599997</v>
      </c>
    </row>
    <row r="186" spans="1:6" ht="18" hidden="1" x14ac:dyDescent="0.35">
      <c r="A186" s="2" t="s">
        <v>39</v>
      </c>
      <c r="B186" s="2" t="s">
        <v>76</v>
      </c>
      <c r="C186" s="2" t="s">
        <v>49</v>
      </c>
      <c r="D186" s="2">
        <v>6</v>
      </c>
      <c r="E186" s="5">
        <f>IF(C186="", "", IFERROR(VLOOKUP(C186, Price_List!A:D, IF(Dashboard!$B$9="樂觀(Snipe)", 3, IF(Dashboard!$B$9="悲觀(Panic)", 4, 2)), 0), 0))</f>
        <v>1650000</v>
      </c>
      <c r="F186" s="5">
        <f t="shared" si="2"/>
        <v>9900000</v>
      </c>
    </row>
    <row r="187" spans="1:6" ht="18" hidden="1" x14ac:dyDescent="0.35">
      <c r="A187" s="2" t="s">
        <v>39</v>
      </c>
      <c r="B187" s="2" t="s">
        <v>76</v>
      </c>
      <c r="C187" s="2" t="s">
        <v>51</v>
      </c>
      <c r="D187" s="2">
        <v>11</v>
      </c>
      <c r="E187" s="5">
        <f>IF(C187="", "", IFERROR(VLOOKUP(C187, Price_List!A:D, IF(Dashboard!$B$9="樂觀(Snipe)", 3, IF(Dashboard!$B$9="悲觀(Panic)", 4, 2)), 0), 0))</f>
        <v>899999</v>
      </c>
      <c r="F187" s="5">
        <f t="shared" si="2"/>
        <v>9899989</v>
      </c>
    </row>
    <row r="188" spans="1:6" ht="18" hidden="1" x14ac:dyDescent="0.35">
      <c r="A188" s="2" t="s">
        <v>39</v>
      </c>
      <c r="B188" s="2" t="s">
        <v>76</v>
      </c>
      <c r="C188" s="2" t="s">
        <v>55</v>
      </c>
      <c r="D188" s="2">
        <v>11</v>
      </c>
      <c r="E188" s="5">
        <f>IF(C188="", "", IFERROR(VLOOKUP(C188, Price_List!A:D, IF(Dashboard!$B$9="樂觀(Snipe)", 3, IF(Dashboard!$B$9="悲觀(Panic)", 4, 2)), 0), 0))</f>
        <v>189998</v>
      </c>
      <c r="F188" s="5">
        <f t="shared" si="2"/>
        <v>2089978</v>
      </c>
    </row>
    <row r="189" spans="1:6" ht="18" hidden="1" x14ac:dyDescent="0.35">
      <c r="A189" s="2" t="s">
        <v>39</v>
      </c>
      <c r="B189" s="2" t="s">
        <v>76</v>
      </c>
      <c r="C189" s="2" t="s">
        <v>65</v>
      </c>
      <c r="D189" s="2">
        <v>22</v>
      </c>
      <c r="E189" s="5">
        <f>IF(C189="", "", IFERROR(VLOOKUP(C189, Price_List!A:D, IF(Dashboard!$B$9="樂觀(Snipe)", 3, IF(Dashboard!$B$9="悲觀(Panic)", 4, 2)), 0), 0))</f>
        <v>204890</v>
      </c>
      <c r="F189" s="5">
        <f t="shared" si="2"/>
        <v>4507580</v>
      </c>
    </row>
    <row r="190" spans="1:6" ht="18" hidden="1" x14ac:dyDescent="0.35">
      <c r="A190" s="2" t="s">
        <v>39</v>
      </c>
      <c r="B190" s="2" t="s">
        <v>76</v>
      </c>
      <c r="C190" s="2" t="s">
        <v>67</v>
      </c>
      <c r="D190" s="2">
        <v>8</v>
      </c>
      <c r="E190" s="5">
        <f>IF(C190="", "", IFERROR(VLOOKUP(C190, Price_List!A:D, IF(Dashboard!$B$9="樂觀(Snipe)", 3, IF(Dashboard!$B$9="悲觀(Panic)", 4, 2)), 0), 0))</f>
        <v>560000</v>
      </c>
      <c r="F190" s="5">
        <f t="shared" si="2"/>
        <v>4480000</v>
      </c>
    </row>
    <row r="191" spans="1:6" ht="18" hidden="1" x14ac:dyDescent="0.35">
      <c r="A191" s="2" t="s">
        <v>39</v>
      </c>
      <c r="B191" s="2" t="s">
        <v>76</v>
      </c>
      <c r="C191" s="2" t="s">
        <v>85</v>
      </c>
      <c r="D191" s="2">
        <v>3</v>
      </c>
      <c r="E191" s="5">
        <f>IF(C191="", "", IFERROR(VLOOKUP(C191, Price_List!A:D, IF(Dashboard!$B$9="樂觀(Snipe)", 3, IF(Dashboard!$B$9="悲觀(Panic)", 4, 2)), 0), 0))</f>
        <v>2350000</v>
      </c>
      <c r="F191" s="5">
        <f t="shared" si="2"/>
        <v>7050000</v>
      </c>
    </row>
    <row r="192" spans="1:6" ht="18" hidden="1" x14ac:dyDescent="0.35">
      <c r="A192" s="2" t="s">
        <v>39</v>
      </c>
      <c r="B192" s="2" t="s">
        <v>68</v>
      </c>
      <c r="C192" s="2" t="s">
        <v>47</v>
      </c>
      <c r="D192" s="2">
        <v>2</v>
      </c>
      <c r="E192" s="5">
        <f>IF(C192="", "", IFERROR(VLOOKUP(C192, Price_List!A:D, IF(Dashboard!$B$9="樂觀(Snipe)", 3, IF(Dashboard!$B$9="悲觀(Panic)", 4, 2)), 0), 0))</f>
        <v>2199999</v>
      </c>
      <c r="F192" s="5">
        <f t="shared" si="2"/>
        <v>4399998</v>
      </c>
    </row>
    <row r="193" spans="1:6" ht="18" hidden="1" x14ac:dyDescent="0.35">
      <c r="A193" s="2" t="s">
        <v>39</v>
      </c>
      <c r="B193" s="2" t="s">
        <v>68</v>
      </c>
      <c r="C193" s="2" t="s">
        <v>49</v>
      </c>
      <c r="D193" s="2">
        <v>3</v>
      </c>
      <c r="E193" s="5">
        <f>IF(C193="", "", IFERROR(VLOOKUP(C193, Price_List!A:D, IF(Dashboard!$B$9="樂觀(Snipe)", 3, IF(Dashboard!$B$9="悲觀(Panic)", 4, 2)), 0), 0))</f>
        <v>1650000</v>
      </c>
      <c r="F193" s="5">
        <f t="shared" si="2"/>
        <v>4950000</v>
      </c>
    </row>
    <row r="194" spans="1:6" ht="18" hidden="1" x14ac:dyDescent="0.35">
      <c r="A194" s="2" t="s">
        <v>39</v>
      </c>
      <c r="B194" s="2" t="s">
        <v>68</v>
      </c>
      <c r="C194" s="2" t="s">
        <v>51</v>
      </c>
      <c r="D194" s="2">
        <v>7</v>
      </c>
      <c r="E194" s="5">
        <f>IF(C194="", "", IFERROR(VLOOKUP(C194, Price_List!A:D, IF(Dashboard!$B$9="樂觀(Snipe)", 3, IF(Dashboard!$B$9="悲觀(Panic)", 4, 2)), 0), 0))</f>
        <v>899999</v>
      </c>
      <c r="F194" s="5">
        <f t="shared" ref="F194:F257" si="3">IF(C194="", "", D194*E194)</f>
        <v>6299993</v>
      </c>
    </row>
    <row r="195" spans="1:6" ht="18" hidden="1" x14ac:dyDescent="0.35">
      <c r="A195" s="2" t="s">
        <v>39</v>
      </c>
      <c r="B195" s="2" t="s">
        <v>68</v>
      </c>
      <c r="C195" s="2" t="s">
        <v>55</v>
      </c>
      <c r="D195" s="2">
        <v>7</v>
      </c>
      <c r="E195" s="5">
        <f>IF(C195="", "", IFERROR(VLOOKUP(C195, Price_List!A:D, IF(Dashboard!$B$9="樂觀(Snipe)", 3, IF(Dashboard!$B$9="悲觀(Panic)", 4, 2)), 0), 0))</f>
        <v>189998</v>
      </c>
      <c r="F195" s="5">
        <f t="shared" si="3"/>
        <v>1329986</v>
      </c>
    </row>
    <row r="196" spans="1:6" ht="18" hidden="1" x14ac:dyDescent="0.35">
      <c r="A196" s="2" t="s">
        <v>39</v>
      </c>
      <c r="B196" s="2" t="s">
        <v>68</v>
      </c>
      <c r="C196" s="2" t="s">
        <v>57</v>
      </c>
      <c r="D196" s="2">
        <v>12</v>
      </c>
      <c r="E196" s="5">
        <f>IF(C196="", "", IFERROR(VLOOKUP(C196, Price_List!A:D, IF(Dashboard!$B$9="樂觀(Snipe)", 3, IF(Dashboard!$B$9="悲觀(Panic)", 4, 2)), 0), 0))</f>
        <v>205000</v>
      </c>
      <c r="F196" s="5">
        <f t="shared" si="3"/>
        <v>2460000</v>
      </c>
    </row>
    <row r="197" spans="1:6" ht="18" hidden="1" x14ac:dyDescent="0.35">
      <c r="A197" s="2" t="s">
        <v>39</v>
      </c>
      <c r="B197" s="2" t="s">
        <v>68</v>
      </c>
      <c r="C197" s="2" t="s">
        <v>67</v>
      </c>
      <c r="D197" s="2">
        <v>6</v>
      </c>
      <c r="E197" s="5">
        <f>IF(C197="", "", IFERROR(VLOOKUP(C197, Price_List!A:D, IF(Dashboard!$B$9="樂觀(Snipe)", 3, IF(Dashboard!$B$9="悲觀(Panic)", 4, 2)), 0), 0))</f>
        <v>560000</v>
      </c>
      <c r="F197" s="5">
        <f t="shared" si="3"/>
        <v>3360000</v>
      </c>
    </row>
    <row r="198" spans="1:6" ht="18" hidden="1" x14ac:dyDescent="0.35">
      <c r="A198" s="2" t="s">
        <v>39</v>
      </c>
      <c r="B198" s="2" t="s">
        <v>68</v>
      </c>
      <c r="C198" s="2" t="s">
        <v>69</v>
      </c>
      <c r="D198" s="2">
        <v>3</v>
      </c>
      <c r="E198" s="5">
        <f>IF(C198="", "", IFERROR(VLOOKUP(C198, Price_List!A:D, IF(Dashboard!$B$9="樂觀(Snipe)", 3, IF(Dashboard!$B$9="悲觀(Panic)", 4, 2)), 0), 0))</f>
        <v>8222222</v>
      </c>
      <c r="F198" s="5">
        <f t="shared" si="3"/>
        <v>24666666</v>
      </c>
    </row>
    <row r="199" spans="1:6" ht="18" hidden="1" x14ac:dyDescent="0.35">
      <c r="A199" s="2" t="s">
        <v>39</v>
      </c>
      <c r="B199" s="2" t="s">
        <v>68</v>
      </c>
      <c r="C199" s="2" t="s">
        <v>86</v>
      </c>
      <c r="D199" s="2">
        <v>14</v>
      </c>
      <c r="E199" s="5">
        <f>IF(C199="", "", IFERROR(VLOOKUP(C199, Price_List!A:D, IF(Dashboard!$B$9="樂觀(Snipe)", 3, IF(Dashboard!$B$9="悲觀(Panic)", 4, 2)), 0), 0))</f>
        <v>10998</v>
      </c>
      <c r="F199" s="5">
        <f t="shared" si="3"/>
        <v>153972</v>
      </c>
    </row>
    <row r="200" spans="1:6" ht="18" hidden="1" x14ac:dyDescent="0.35">
      <c r="A200" s="2" t="s">
        <v>39</v>
      </c>
      <c r="B200" s="2" t="s">
        <v>50</v>
      </c>
      <c r="C200" s="2" t="s">
        <v>42</v>
      </c>
      <c r="D200" s="2">
        <v>41</v>
      </c>
      <c r="E200" s="5">
        <f>IF(C200="", "", IFERROR(VLOOKUP(C200, Price_List!A:D, IF(Dashboard!$B$9="樂觀(Snipe)", 3, IF(Dashboard!$B$9="悲觀(Panic)", 4, 2)), 0), 0))</f>
        <v>11900</v>
      </c>
      <c r="F200" s="5">
        <f t="shared" si="3"/>
        <v>487900</v>
      </c>
    </row>
    <row r="201" spans="1:6" ht="18" hidden="1" x14ac:dyDescent="0.35">
      <c r="A201" s="2" t="s">
        <v>39</v>
      </c>
      <c r="B201" s="2" t="s">
        <v>50</v>
      </c>
      <c r="C201" s="2" t="s">
        <v>47</v>
      </c>
      <c r="D201" s="2">
        <v>6</v>
      </c>
      <c r="E201" s="5">
        <f>IF(C201="", "", IFERROR(VLOOKUP(C201, Price_List!A:D, IF(Dashboard!$B$9="樂觀(Snipe)", 3, IF(Dashboard!$B$9="悲觀(Panic)", 4, 2)), 0), 0))</f>
        <v>2199999</v>
      </c>
      <c r="F201" s="5">
        <f t="shared" si="3"/>
        <v>13199994</v>
      </c>
    </row>
    <row r="202" spans="1:6" ht="18" hidden="1" x14ac:dyDescent="0.35">
      <c r="A202" s="2" t="s">
        <v>39</v>
      </c>
      <c r="B202" s="2" t="s">
        <v>50</v>
      </c>
      <c r="C202" s="2" t="s">
        <v>49</v>
      </c>
      <c r="D202" s="2">
        <v>11</v>
      </c>
      <c r="E202" s="5">
        <f>IF(C202="", "", IFERROR(VLOOKUP(C202, Price_List!A:D, IF(Dashboard!$B$9="樂觀(Snipe)", 3, IF(Dashboard!$B$9="悲觀(Panic)", 4, 2)), 0), 0))</f>
        <v>1650000</v>
      </c>
      <c r="F202" s="5">
        <f t="shared" si="3"/>
        <v>18150000</v>
      </c>
    </row>
    <row r="203" spans="1:6" ht="18" hidden="1" x14ac:dyDescent="0.35">
      <c r="A203" s="2" t="s">
        <v>39</v>
      </c>
      <c r="B203" s="2" t="s">
        <v>50</v>
      </c>
      <c r="C203" s="2" t="s">
        <v>51</v>
      </c>
      <c r="D203" s="2">
        <v>21</v>
      </c>
      <c r="E203" s="5">
        <f>IF(C203="", "", IFERROR(VLOOKUP(C203, Price_List!A:D, IF(Dashboard!$B$9="樂觀(Snipe)", 3, IF(Dashboard!$B$9="悲觀(Panic)", 4, 2)), 0), 0))</f>
        <v>899999</v>
      </c>
      <c r="F203" s="5">
        <f t="shared" si="3"/>
        <v>18899979</v>
      </c>
    </row>
    <row r="204" spans="1:6" ht="18" hidden="1" x14ac:dyDescent="0.35">
      <c r="A204" s="2" t="s">
        <v>39</v>
      </c>
      <c r="B204" s="2" t="s">
        <v>50</v>
      </c>
      <c r="C204" s="2" t="s">
        <v>55</v>
      </c>
      <c r="D204" s="2">
        <v>21</v>
      </c>
      <c r="E204" s="5">
        <f>IF(C204="", "", IFERROR(VLOOKUP(C204, Price_List!A:D, IF(Dashboard!$B$9="樂觀(Snipe)", 3, IF(Dashboard!$B$9="悲觀(Panic)", 4, 2)), 0), 0))</f>
        <v>189998</v>
      </c>
      <c r="F204" s="5">
        <f t="shared" si="3"/>
        <v>3989958</v>
      </c>
    </row>
    <row r="205" spans="1:6" ht="18" hidden="1" x14ac:dyDescent="0.35">
      <c r="A205" s="2" t="s">
        <v>39</v>
      </c>
      <c r="B205" s="2" t="s">
        <v>50</v>
      </c>
      <c r="C205" s="2" t="s">
        <v>61</v>
      </c>
      <c r="D205" s="2">
        <v>36</v>
      </c>
      <c r="E205" s="5">
        <f>IF(C205="", "", IFERROR(VLOOKUP(C205, Price_List!A:D, IF(Dashboard!$B$9="樂觀(Snipe)", 3, IF(Dashboard!$B$9="悲觀(Panic)", 4, 2)), 0), 0))</f>
        <v>188000</v>
      </c>
      <c r="F205" s="5">
        <f t="shared" si="3"/>
        <v>6768000</v>
      </c>
    </row>
    <row r="206" spans="1:6" ht="18" hidden="1" x14ac:dyDescent="0.35">
      <c r="A206" s="2" t="s">
        <v>39</v>
      </c>
      <c r="B206" s="2" t="s">
        <v>50</v>
      </c>
      <c r="C206" s="2" t="s">
        <v>67</v>
      </c>
      <c r="D206" s="2">
        <v>15</v>
      </c>
      <c r="E206" s="5">
        <f>IF(C206="", "", IFERROR(VLOOKUP(C206, Price_List!A:D, IF(Dashboard!$B$9="樂觀(Snipe)", 3, IF(Dashboard!$B$9="悲觀(Panic)", 4, 2)), 0), 0))</f>
        <v>560000</v>
      </c>
      <c r="F206" s="5">
        <f t="shared" si="3"/>
        <v>8400000</v>
      </c>
    </row>
    <row r="207" spans="1:6" ht="18" hidden="1" x14ac:dyDescent="0.35">
      <c r="A207" s="2" t="s">
        <v>39</v>
      </c>
      <c r="B207" s="2" t="s">
        <v>50</v>
      </c>
      <c r="C207" s="2" t="s">
        <v>83</v>
      </c>
      <c r="D207" s="2">
        <v>3</v>
      </c>
      <c r="E207" s="5">
        <f>IF(C207="", "", IFERROR(VLOOKUP(C207, Price_List!A:D, IF(Dashboard!$B$9="樂觀(Snipe)", 3, IF(Dashboard!$B$9="悲觀(Panic)", 4, 2)), 0), 0))</f>
        <v>3300088</v>
      </c>
      <c r="F207" s="5">
        <f t="shared" si="3"/>
        <v>9900264</v>
      </c>
    </row>
    <row r="208" spans="1:6" ht="18" hidden="1" x14ac:dyDescent="0.35">
      <c r="A208" s="6" t="s">
        <v>123</v>
      </c>
      <c r="B208" s="6" t="s">
        <v>135</v>
      </c>
      <c r="C208" s="6" t="s">
        <v>136</v>
      </c>
      <c r="D208" s="2">
        <v>5</v>
      </c>
      <c r="E208" s="5">
        <f>IF(C208="", "", IFERROR(VLOOKUP(C208, Price_List!A:D, IF(Dashboard!$B$9="樂觀(Snipe)", 3, IF(Dashboard!$B$9="悲觀(Panic)", 4, 2)), 0), 0))</f>
        <v>2599988</v>
      </c>
      <c r="F208" s="5">
        <f t="shared" si="3"/>
        <v>12999940</v>
      </c>
    </row>
    <row r="209" spans="1:6" ht="18" hidden="1" x14ac:dyDescent="0.35">
      <c r="A209" s="6" t="s">
        <v>123</v>
      </c>
      <c r="B209" s="6" t="s">
        <v>135</v>
      </c>
      <c r="C209" s="6" t="s">
        <v>105</v>
      </c>
      <c r="D209" s="2">
        <v>50</v>
      </c>
      <c r="E209" s="5">
        <f>IF(C209="", "", IFERROR(VLOOKUP(C209, Price_List!A:D, IF(Dashboard!$B$9="樂觀(Snipe)", 3, IF(Dashboard!$B$9="悲觀(Panic)", 4, 2)), 0), 0))</f>
        <v>560000</v>
      </c>
      <c r="F209" s="5">
        <f t="shared" si="3"/>
        <v>28000000</v>
      </c>
    </row>
    <row r="210" spans="1:6" ht="18" hidden="1" x14ac:dyDescent="0.35">
      <c r="A210" s="6" t="s">
        <v>123</v>
      </c>
      <c r="B210" s="6" t="s">
        <v>135</v>
      </c>
      <c r="C210" s="6" t="s">
        <v>128</v>
      </c>
      <c r="D210" s="2">
        <v>122</v>
      </c>
      <c r="E210" s="5">
        <f>IF(C210="", "", IFERROR(VLOOKUP(C210, Price_List!A:D, IF(Dashboard!$B$9="樂觀(Snipe)", 3, IF(Dashboard!$B$9="悲觀(Panic)", 4, 2)), 0), 0))</f>
        <v>2500000</v>
      </c>
      <c r="F210" s="5">
        <f t="shared" si="3"/>
        <v>305000000</v>
      </c>
    </row>
    <row r="211" spans="1:6" ht="18" hidden="1" x14ac:dyDescent="0.35">
      <c r="A211" s="6" t="s">
        <v>123</v>
      </c>
      <c r="B211" s="6" t="s">
        <v>135</v>
      </c>
      <c r="C211" s="6" t="s">
        <v>106</v>
      </c>
      <c r="D211" s="2">
        <v>18</v>
      </c>
      <c r="E211" s="5">
        <f>IF(C211="", "", IFERROR(VLOOKUP(C211, Price_List!A:D, IF(Dashboard!$B$9="樂觀(Snipe)", 3, IF(Dashboard!$B$9="悲觀(Panic)", 4, 2)), 0), 0))</f>
        <v>2199999</v>
      </c>
      <c r="F211" s="5">
        <f t="shared" si="3"/>
        <v>39599982</v>
      </c>
    </row>
    <row r="212" spans="1:6" ht="18" hidden="1" x14ac:dyDescent="0.35">
      <c r="A212" s="6" t="s">
        <v>123</v>
      </c>
      <c r="B212" s="6" t="s">
        <v>135</v>
      </c>
      <c r="C212" s="6" t="s">
        <v>122</v>
      </c>
      <c r="D212" s="2">
        <v>27</v>
      </c>
      <c r="E212" s="5">
        <f>IF(C212="", "", IFERROR(VLOOKUP(C212, Price_List!A:D, IF(Dashboard!$B$9="樂觀(Snipe)", 3, IF(Dashboard!$B$9="悲觀(Panic)", 4, 2)), 0), 0))</f>
        <v>1650000</v>
      </c>
      <c r="F212" s="5">
        <f t="shared" si="3"/>
        <v>44550000</v>
      </c>
    </row>
    <row r="213" spans="1:6" ht="18" hidden="1" x14ac:dyDescent="0.35">
      <c r="A213" s="6" t="s">
        <v>123</v>
      </c>
      <c r="B213" s="6" t="s">
        <v>135</v>
      </c>
      <c r="C213" s="6" t="s">
        <v>124</v>
      </c>
      <c r="D213" s="2">
        <v>42</v>
      </c>
      <c r="E213" s="5">
        <f>IF(C213="", "", IFERROR(VLOOKUP(C213, Price_List!A:D, IF(Dashboard!$B$9="樂觀(Snipe)", 3, IF(Dashboard!$B$9="悲觀(Panic)", 4, 2)), 0), 0))</f>
        <v>899999</v>
      </c>
      <c r="F213" s="5">
        <f t="shared" si="3"/>
        <v>37799958</v>
      </c>
    </row>
    <row r="214" spans="1:6" ht="18" hidden="1" x14ac:dyDescent="0.35">
      <c r="A214" s="6" t="s">
        <v>123</v>
      </c>
      <c r="B214" s="6" t="s">
        <v>135</v>
      </c>
      <c r="C214" s="6" t="s">
        <v>125</v>
      </c>
      <c r="D214" s="2">
        <v>19</v>
      </c>
      <c r="E214" s="5">
        <f>IF(C214="", "", IFERROR(VLOOKUP(C214, Price_List!A:D, IF(Dashboard!$B$9="樂觀(Snipe)", 3, IF(Dashboard!$B$9="悲觀(Panic)", 4, 2)), 0), 0))</f>
        <v>6879998</v>
      </c>
      <c r="F214" s="5">
        <f t="shared" si="3"/>
        <v>130719962</v>
      </c>
    </row>
    <row r="215" spans="1:6" ht="18" hidden="1" x14ac:dyDescent="0.35">
      <c r="A215" s="6" t="s">
        <v>123</v>
      </c>
      <c r="B215" s="6" t="s">
        <v>135</v>
      </c>
      <c r="C215" s="6" t="s">
        <v>107</v>
      </c>
      <c r="D215" s="2">
        <v>121</v>
      </c>
      <c r="E215" s="5">
        <f>IF(C215="", "", IFERROR(VLOOKUP(C215, Price_List!A:D, IF(Dashboard!$B$9="樂觀(Snipe)", 3, IF(Dashboard!$B$9="悲觀(Panic)", 4, 2)), 0), 0))</f>
        <v>205000</v>
      </c>
      <c r="F215" s="5">
        <f t="shared" si="3"/>
        <v>24805000</v>
      </c>
    </row>
    <row r="216" spans="1:6" ht="18" hidden="1" x14ac:dyDescent="0.35">
      <c r="A216" s="6" t="s">
        <v>123</v>
      </c>
      <c r="B216" s="6" t="s">
        <v>135</v>
      </c>
      <c r="C216" s="6" t="s">
        <v>108</v>
      </c>
      <c r="D216" s="2">
        <v>70</v>
      </c>
      <c r="E216" s="5">
        <f>IF(C216="", "", IFERROR(VLOOKUP(C216, Price_List!A:D, IF(Dashboard!$B$9="樂觀(Snipe)", 3, IF(Dashboard!$B$9="悲觀(Panic)", 4, 2)), 0), 0))</f>
        <v>189998</v>
      </c>
      <c r="F216" s="5">
        <f t="shared" si="3"/>
        <v>13299860</v>
      </c>
    </row>
    <row r="217" spans="1:6" ht="18" hidden="1" x14ac:dyDescent="0.35">
      <c r="A217" s="6" t="s">
        <v>123</v>
      </c>
      <c r="B217" s="6" t="s">
        <v>103</v>
      </c>
      <c r="C217" s="6" t="s">
        <v>104</v>
      </c>
      <c r="D217" s="2">
        <v>5</v>
      </c>
      <c r="E217" s="5">
        <f>IF(C217="", "", IFERROR(VLOOKUP(C217, Price_List!A:D, IF(Dashboard!$B$9="樂觀(Snipe)", 3, IF(Dashboard!$B$9="悲觀(Panic)", 4, 2)), 0), 0))</f>
        <v>10500000</v>
      </c>
      <c r="F217" s="5">
        <f t="shared" si="3"/>
        <v>52500000</v>
      </c>
    </row>
    <row r="218" spans="1:6" ht="18" hidden="1" x14ac:dyDescent="0.35">
      <c r="A218" s="6" t="s">
        <v>123</v>
      </c>
      <c r="B218" s="6" t="s">
        <v>103</v>
      </c>
      <c r="C218" s="6" t="s">
        <v>105</v>
      </c>
      <c r="D218" s="2">
        <v>21</v>
      </c>
      <c r="E218" s="5">
        <f>IF(C218="", "", IFERROR(VLOOKUP(C218, Price_List!A:D, IF(Dashboard!$B$9="樂觀(Snipe)", 3, IF(Dashboard!$B$9="悲觀(Panic)", 4, 2)), 0), 0))</f>
        <v>560000</v>
      </c>
      <c r="F218" s="5">
        <f t="shared" si="3"/>
        <v>11760000</v>
      </c>
    </row>
    <row r="219" spans="1:6" ht="18" hidden="1" x14ac:dyDescent="0.35">
      <c r="A219" s="6" t="s">
        <v>123</v>
      </c>
      <c r="B219" s="6" t="s">
        <v>103</v>
      </c>
      <c r="C219" s="6" t="s">
        <v>100</v>
      </c>
      <c r="D219" s="2">
        <v>51</v>
      </c>
      <c r="E219" s="5">
        <f>IF(C219="", "", IFERROR(VLOOKUP(C219, Price_List!A:D, IF(Dashboard!$B$9="樂觀(Snipe)", 3, IF(Dashboard!$B$9="悲觀(Panic)", 4, 2)), 0), 0))</f>
        <v>220000</v>
      </c>
      <c r="F219" s="5">
        <f t="shared" si="3"/>
        <v>11220000</v>
      </c>
    </row>
    <row r="220" spans="1:6" ht="18" hidden="1" x14ac:dyDescent="0.35">
      <c r="A220" s="6" t="s">
        <v>123</v>
      </c>
      <c r="B220" s="6" t="s">
        <v>103</v>
      </c>
      <c r="C220" s="6" t="s">
        <v>106</v>
      </c>
      <c r="D220" s="2">
        <v>7</v>
      </c>
      <c r="E220" s="5">
        <f>IF(C220="", "", IFERROR(VLOOKUP(C220, Price_List!A:D, IF(Dashboard!$B$9="樂觀(Snipe)", 3, IF(Dashboard!$B$9="悲觀(Panic)", 4, 2)), 0), 0))</f>
        <v>2199999</v>
      </c>
      <c r="F220" s="5">
        <f t="shared" si="3"/>
        <v>15399993</v>
      </c>
    </row>
    <row r="221" spans="1:6" ht="18" hidden="1" x14ac:dyDescent="0.35">
      <c r="A221" s="6" t="s">
        <v>123</v>
      </c>
      <c r="B221" s="6" t="s">
        <v>103</v>
      </c>
      <c r="C221" s="6" t="s">
        <v>122</v>
      </c>
      <c r="D221" s="2">
        <v>12</v>
      </c>
      <c r="E221" s="5">
        <f>IF(C221="", "", IFERROR(VLOOKUP(C221, Price_List!A:D, IF(Dashboard!$B$9="樂觀(Snipe)", 3, IF(Dashboard!$B$9="悲觀(Panic)", 4, 2)), 0), 0))</f>
        <v>1650000</v>
      </c>
      <c r="F221" s="5">
        <f t="shared" si="3"/>
        <v>19800000</v>
      </c>
    </row>
    <row r="222" spans="1:6" ht="18" hidden="1" x14ac:dyDescent="0.35">
      <c r="A222" s="6" t="s">
        <v>123</v>
      </c>
      <c r="B222" s="6" t="s">
        <v>103</v>
      </c>
      <c r="C222" s="6" t="s">
        <v>124</v>
      </c>
      <c r="D222" s="2">
        <v>17</v>
      </c>
      <c r="E222" s="5">
        <f>IF(C222="", "", IFERROR(VLOOKUP(C222, Price_List!A:D, IF(Dashboard!$B$9="樂觀(Snipe)", 3, IF(Dashboard!$B$9="悲觀(Panic)", 4, 2)), 0), 0))</f>
        <v>899999</v>
      </c>
      <c r="F222" s="5">
        <f t="shared" si="3"/>
        <v>15299983</v>
      </c>
    </row>
    <row r="223" spans="1:6" ht="18" hidden="1" x14ac:dyDescent="0.35">
      <c r="A223" s="6" t="s">
        <v>123</v>
      </c>
      <c r="B223" s="6" t="s">
        <v>103</v>
      </c>
      <c r="C223" s="6" t="s">
        <v>125</v>
      </c>
      <c r="D223" s="2">
        <v>8</v>
      </c>
      <c r="E223" s="5">
        <f>IF(C223="", "", IFERROR(VLOOKUP(C223, Price_List!A:D, IF(Dashboard!$B$9="樂觀(Snipe)", 3, IF(Dashboard!$B$9="悲觀(Panic)", 4, 2)), 0), 0))</f>
        <v>6879998</v>
      </c>
      <c r="F223" s="5">
        <f t="shared" si="3"/>
        <v>55039984</v>
      </c>
    </row>
    <row r="224" spans="1:6" ht="18" hidden="1" x14ac:dyDescent="0.35">
      <c r="A224" s="6" t="s">
        <v>123</v>
      </c>
      <c r="B224" s="6" t="s">
        <v>103</v>
      </c>
      <c r="C224" s="6" t="s">
        <v>107</v>
      </c>
      <c r="D224" s="2">
        <v>51</v>
      </c>
      <c r="E224" s="5">
        <f>IF(C224="", "", IFERROR(VLOOKUP(C224, Price_List!A:D, IF(Dashboard!$B$9="樂觀(Snipe)", 3, IF(Dashboard!$B$9="悲觀(Panic)", 4, 2)), 0), 0))</f>
        <v>205000</v>
      </c>
      <c r="F224" s="5">
        <f t="shared" si="3"/>
        <v>10455000</v>
      </c>
    </row>
    <row r="225" spans="1:6" ht="18" hidden="1" x14ac:dyDescent="0.35">
      <c r="A225" s="6" t="s">
        <v>123</v>
      </c>
      <c r="B225" s="6" t="s">
        <v>103</v>
      </c>
      <c r="C225" s="6" t="s">
        <v>108</v>
      </c>
      <c r="D225" s="2">
        <v>29</v>
      </c>
      <c r="E225" s="5">
        <f>IF(C225="", "", IFERROR(VLOOKUP(C225, Price_List!A:D, IF(Dashboard!$B$9="樂觀(Snipe)", 3, IF(Dashboard!$B$9="悲觀(Panic)", 4, 2)), 0), 0))</f>
        <v>189998</v>
      </c>
      <c r="F225" s="5">
        <f t="shared" si="3"/>
        <v>5509942</v>
      </c>
    </row>
    <row r="226" spans="1:6" ht="18" hidden="1" x14ac:dyDescent="0.35">
      <c r="A226" s="6" t="s">
        <v>123</v>
      </c>
      <c r="B226" s="6" t="s">
        <v>112</v>
      </c>
      <c r="C226" s="6" t="s">
        <v>117</v>
      </c>
      <c r="D226" s="2">
        <v>5</v>
      </c>
      <c r="E226" s="5">
        <f>IF(C226="", "", IFERROR(VLOOKUP(C226, Price_List!A:D, IF(Dashboard!$B$9="樂觀(Snipe)", 3, IF(Dashboard!$B$9="悲觀(Panic)", 4, 2)), 0), 0))</f>
        <v>10101008</v>
      </c>
      <c r="F226" s="5">
        <f t="shared" si="3"/>
        <v>50505040</v>
      </c>
    </row>
    <row r="227" spans="1:6" ht="18" hidden="1" x14ac:dyDescent="0.35">
      <c r="A227" s="6" t="s">
        <v>123</v>
      </c>
      <c r="B227" s="6" t="s">
        <v>112</v>
      </c>
      <c r="C227" s="6" t="s">
        <v>105</v>
      </c>
      <c r="D227" s="2">
        <v>25</v>
      </c>
      <c r="E227" s="5">
        <f>IF(C227="", "", IFERROR(VLOOKUP(C227, Price_List!A:D, IF(Dashboard!$B$9="樂觀(Snipe)", 3, IF(Dashboard!$B$9="悲觀(Panic)", 4, 2)), 0), 0))</f>
        <v>560000</v>
      </c>
      <c r="F227" s="5">
        <f t="shared" si="3"/>
        <v>14000000</v>
      </c>
    </row>
    <row r="228" spans="1:6" ht="18" hidden="1" x14ac:dyDescent="0.35">
      <c r="A228" s="6" t="s">
        <v>123</v>
      </c>
      <c r="B228" s="6" t="s">
        <v>112</v>
      </c>
      <c r="C228" s="6" t="s">
        <v>100</v>
      </c>
      <c r="D228" s="2">
        <v>61</v>
      </c>
      <c r="E228" s="5">
        <f>IF(C228="", "", IFERROR(VLOOKUP(C228, Price_List!A:D, IF(Dashboard!$B$9="樂觀(Snipe)", 3, IF(Dashboard!$B$9="悲觀(Panic)", 4, 2)), 0), 0))</f>
        <v>220000</v>
      </c>
      <c r="F228" s="5">
        <f t="shared" si="3"/>
        <v>13420000</v>
      </c>
    </row>
    <row r="229" spans="1:6" ht="18" hidden="1" x14ac:dyDescent="0.35">
      <c r="A229" s="6" t="s">
        <v>123</v>
      </c>
      <c r="B229" s="6" t="s">
        <v>112</v>
      </c>
      <c r="C229" s="6" t="s">
        <v>106</v>
      </c>
      <c r="D229" s="2">
        <v>9</v>
      </c>
      <c r="E229" s="5">
        <f>IF(C229="", "", IFERROR(VLOOKUP(C229, Price_List!A:D, IF(Dashboard!$B$9="樂觀(Snipe)", 3, IF(Dashboard!$B$9="悲觀(Panic)", 4, 2)), 0), 0))</f>
        <v>2199999</v>
      </c>
      <c r="F229" s="5">
        <f t="shared" si="3"/>
        <v>19799991</v>
      </c>
    </row>
    <row r="230" spans="1:6" ht="18" hidden="1" x14ac:dyDescent="0.35">
      <c r="A230" s="6" t="s">
        <v>123</v>
      </c>
      <c r="B230" s="6" t="s">
        <v>112</v>
      </c>
      <c r="C230" s="6" t="s">
        <v>122</v>
      </c>
      <c r="D230" s="2">
        <v>14</v>
      </c>
      <c r="E230" s="5">
        <f>IF(C230="", "", IFERROR(VLOOKUP(C230, Price_List!A:D, IF(Dashboard!$B$9="樂觀(Snipe)", 3, IF(Dashboard!$B$9="悲觀(Panic)", 4, 2)), 0), 0))</f>
        <v>1650000</v>
      </c>
      <c r="F230" s="5">
        <f t="shared" si="3"/>
        <v>23100000</v>
      </c>
    </row>
    <row r="231" spans="1:6" ht="18" hidden="1" x14ac:dyDescent="0.35">
      <c r="A231" s="6" t="s">
        <v>123</v>
      </c>
      <c r="B231" s="6" t="s">
        <v>112</v>
      </c>
      <c r="C231" s="6" t="s">
        <v>124</v>
      </c>
      <c r="D231" s="2">
        <v>21</v>
      </c>
      <c r="E231" s="5">
        <f>IF(C231="", "", IFERROR(VLOOKUP(C231, Price_List!A:D, IF(Dashboard!$B$9="樂觀(Snipe)", 3, IF(Dashboard!$B$9="悲觀(Panic)", 4, 2)), 0), 0))</f>
        <v>899999</v>
      </c>
      <c r="F231" s="5">
        <f t="shared" si="3"/>
        <v>18899979</v>
      </c>
    </row>
    <row r="232" spans="1:6" ht="18" hidden="1" x14ac:dyDescent="0.35">
      <c r="A232" s="6" t="s">
        <v>123</v>
      </c>
      <c r="B232" s="6" t="s">
        <v>112</v>
      </c>
      <c r="C232" s="6" t="s">
        <v>125</v>
      </c>
      <c r="D232" s="2">
        <v>10</v>
      </c>
      <c r="E232" s="5">
        <f>IF(C232="", "", IFERROR(VLOOKUP(C232, Price_List!A:D, IF(Dashboard!$B$9="樂觀(Snipe)", 3, IF(Dashboard!$B$9="悲觀(Panic)", 4, 2)), 0), 0))</f>
        <v>6879998</v>
      </c>
      <c r="F232" s="5">
        <f t="shared" si="3"/>
        <v>68799980</v>
      </c>
    </row>
    <row r="233" spans="1:6" ht="18" hidden="1" x14ac:dyDescent="0.35">
      <c r="A233" s="6" t="s">
        <v>123</v>
      </c>
      <c r="B233" s="6" t="s">
        <v>112</v>
      </c>
      <c r="C233" s="6" t="s">
        <v>107</v>
      </c>
      <c r="D233" s="2">
        <v>61</v>
      </c>
      <c r="E233" s="5">
        <f>IF(C233="", "", IFERROR(VLOOKUP(C233, Price_List!A:D, IF(Dashboard!$B$9="樂觀(Snipe)", 3, IF(Dashboard!$B$9="悲觀(Panic)", 4, 2)), 0), 0))</f>
        <v>205000</v>
      </c>
      <c r="F233" s="5">
        <f t="shared" si="3"/>
        <v>12505000</v>
      </c>
    </row>
    <row r="234" spans="1:6" ht="18" hidden="1" x14ac:dyDescent="0.35">
      <c r="A234" s="6" t="s">
        <v>123</v>
      </c>
      <c r="B234" s="6" t="s">
        <v>112</v>
      </c>
      <c r="C234" s="6" t="s">
        <v>108</v>
      </c>
      <c r="D234" s="2">
        <v>35</v>
      </c>
      <c r="E234" s="5">
        <f>IF(C234="", "", IFERROR(VLOOKUP(C234, Price_List!A:D, IF(Dashboard!$B$9="樂觀(Snipe)", 3, IF(Dashboard!$B$9="悲觀(Panic)", 4, 2)), 0), 0))</f>
        <v>189998</v>
      </c>
      <c r="F234" s="5">
        <f t="shared" si="3"/>
        <v>6649930</v>
      </c>
    </row>
    <row r="235" spans="1:6" ht="18" hidden="1" x14ac:dyDescent="0.35">
      <c r="A235" s="6" t="s">
        <v>123</v>
      </c>
      <c r="B235" s="6" t="s">
        <v>131</v>
      </c>
      <c r="C235" s="6" t="s">
        <v>132</v>
      </c>
      <c r="D235" s="2">
        <v>5</v>
      </c>
      <c r="E235" s="5">
        <f>IF(C235="", "", IFERROR(VLOOKUP(C235, Price_List!A:D, IF(Dashboard!$B$9="樂觀(Snipe)", 3, IF(Dashboard!$B$9="悲觀(Panic)", 4, 2)), 0), 0))</f>
        <v>3188800</v>
      </c>
      <c r="F235" s="5">
        <f t="shared" si="3"/>
        <v>15944000</v>
      </c>
    </row>
    <row r="236" spans="1:6" ht="18" hidden="1" x14ac:dyDescent="0.35">
      <c r="A236" s="6" t="s">
        <v>123</v>
      </c>
      <c r="B236" s="6" t="s">
        <v>131</v>
      </c>
      <c r="C236" s="6" t="s">
        <v>105</v>
      </c>
      <c r="D236" s="2">
        <v>50</v>
      </c>
      <c r="E236" s="5">
        <f>IF(C236="", "", IFERROR(VLOOKUP(C236, Price_List!A:D, IF(Dashboard!$B$9="樂觀(Snipe)", 3, IF(Dashboard!$B$9="悲觀(Panic)", 4, 2)), 0), 0))</f>
        <v>560000</v>
      </c>
      <c r="F236" s="5">
        <f t="shared" si="3"/>
        <v>28000000</v>
      </c>
    </row>
    <row r="237" spans="1:6" ht="18" hidden="1" x14ac:dyDescent="0.35">
      <c r="A237" s="6" t="s">
        <v>123</v>
      </c>
      <c r="B237" s="6" t="s">
        <v>131</v>
      </c>
      <c r="C237" s="6" t="s">
        <v>128</v>
      </c>
      <c r="D237" s="2">
        <v>122</v>
      </c>
      <c r="E237" s="5">
        <f>IF(C237="", "", IFERROR(VLOOKUP(C237, Price_List!A:D, IF(Dashboard!$B$9="樂觀(Snipe)", 3, IF(Dashboard!$B$9="悲觀(Panic)", 4, 2)), 0), 0))</f>
        <v>2500000</v>
      </c>
      <c r="F237" s="5">
        <f t="shared" si="3"/>
        <v>305000000</v>
      </c>
    </row>
    <row r="238" spans="1:6" ht="18" hidden="1" x14ac:dyDescent="0.35">
      <c r="A238" s="6" t="s">
        <v>123</v>
      </c>
      <c r="B238" s="6" t="s">
        <v>131</v>
      </c>
      <c r="C238" s="6" t="s">
        <v>106</v>
      </c>
      <c r="D238" s="2">
        <v>18</v>
      </c>
      <c r="E238" s="5">
        <f>IF(C238="", "", IFERROR(VLOOKUP(C238, Price_List!A:D, IF(Dashboard!$B$9="樂觀(Snipe)", 3, IF(Dashboard!$B$9="悲觀(Panic)", 4, 2)), 0), 0))</f>
        <v>2199999</v>
      </c>
      <c r="F238" s="5">
        <f t="shared" si="3"/>
        <v>39599982</v>
      </c>
    </row>
    <row r="239" spans="1:6" ht="18" hidden="1" x14ac:dyDescent="0.35">
      <c r="A239" s="6" t="s">
        <v>123</v>
      </c>
      <c r="B239" s="6" t="s">
        <v>131</v>
      </c>
      <c r="C239" s="6" t="s">
        <v>122</v>
      </c>
      <c r="D239" s="2">
        <v>27</v>
      </c>
      <c r="E239" s="5">
        <f>IF(C239="", "", IFERROR(VLOOKUP(C239, Price_List!A:D, IF(Dashboard!$B$9="樂觀(Snipe)", 3, IF(Dashboard!$B$9="悲觀(Panic)", 4, 2)), 0), 0))</f>
        <v>1650000</v>
      </c>
      <c r="F239" s="5">
        <f t="shared" si="3"/>
        <v>44550000</v>
      </c>
    </row>
    <row r="240" spans="1:6" ht="18" hidden="1" x14ac:dyDescent="0.35">
      <c r="A240" s="6" t="s">
        <v>123</v>
      </c>
      <c r="B240" s="6" t="s">
        <v>131</v>
      </c>
      <c r="C240" s="6" t="s">
        <v>124</v>
      </c>
      <c r="D240" s="2">
        <v>42</v>
      </c>
      <c r="E240" s="5">
        <f>IF(C240="", "", IFERROR(VLOOKUP(C240, Price_List!A:D, IF(Dashboard!$B$9="樂觀(Snipe)", 3, IF(Dashboard!$B$9="悲觀(Panic)", 4, 2)), 0), 0))</f>
        <v>899999</v>
      </c>
      <c r="F240" s="5">
        <f t="shared" si="3"/>
        <v>37799958</v>
      </c>
    </row>
    <row r="241" spans="1:6" ht="18" hidden="1" x14ac:dyDescent="0.35">
      <c r="A241" s="6" t="s">
        <v>123</v>
      </c>
      <c r="B241" s="6" t="s">
        <v>131</v>
      </c>
      <c r="C241" s="6" t="s">
        <v>125</v>
      </c>
      <c r="D241" s="2">
        <v>19</v>
      </c>
      <c r="E241" s="5">
        <f>IF(C241="", "", IFERROR(VLOOKUP(C241, Price_List!A:D, IF(Dashboard!$B$9="樂觀(Snipe)", 3, IF(Dashboard!$B$9="悲觀(Panic)", 4, 2)), 0), 0))</f>
        <v>6879998</v>
      </c>
      <c r="F241" s="5">
        <f t="shared" si="3"/>
        <v>130719962</v>
      </c>
    </row>
    <row r="242" spans="1:6" ht="18" hidden="1" x14ac:dyDescent="0.35">
      <c r="A242" s="6" t="s">
        <v>123</v>
      </c>
      <c r="B242" s="6" t="s">
        <v>131</v>
      </c>
      <c r="C242" s="6" t="s">
        <v>107</v>
      </c>
      <c r="D242" s="2">
        <v>121</v>
      </c>
      <c r="E242" s="5">
        <f>IF(C242="", "", IFERROR(VLOOKUP(C242, Price_List!A:D, IF(Dashboard!$B$9="樂觀(Snipe)", 3, IF(Dashboard!$B$9="悲觀(Panic)", 4, 2)), 0), 0))</f>
        <v>205000</v>
      </c>
      <c r="F242" s="5">
        <f t="shared" si="3"/>
        <v>24805000</v>
      </c>
    </row>
    <row r="243" spans="1:6" ht="18" hidden="1" x14ac:dyDescent="0.35">
      <c r="A243" s="6" t="s">
        <v>123</v>
      </c>
      <c r="B243" s="6" t="s">
        <v>131</v>
      </c>
      <c r="C243" s="6" t="s">
        <v>108</v>
      </c>
      <c r="D243" s="2">
        <v>70</v>
      </c>
      <c r="E243" s="5">
        <f>IF(C243="", "", IFERROR(VLOOKUP(C243, Price_List!A:D, IF(Dashboard!$B$9="樂觀(Snipe)", 3, IF(Dashboard!$B$9="悲觀(Panic)", 4, 2)), 0), 0))</f>
        <v>189998</v>
      </c>
      <c r="F243" s="5">
        <f t="shared" si="3"/>
        <v>13299860</v>
      </c>
    </row>
    <row r="244" spans="1:6" ht="18" hidden="1" x14ac:dyDescent="0.35">
      <c r="A244" s="6" t="s">
        <v>123</v>
      </c>
      <c r="B244" s="6" t="s">
        <v>134</v>
      </c>
      <c r="C244" s="6" t="s">
        <v>133</v>
      </c>
      <c r="D244" s="2">
        <v>5</v>
      </c>
      <c r="E244" s="5">
        <f>IF(C244="", "", IFERROR(VLOOKUP(C244, Price_List!A:D, IF(Dashboard!$B$9="樂觀(Snipe)", 3, IF(Dashboard!$B$9="悲觀(Panic)", 4, 2)), 0), 0))</f>
        <v>3149990</v>
      </c>
      <c r="F244" s="5">
        <f t="shared" si="3"/>
        <v>15749950</v>
      </c>
    </row>
    <row r="245" spans="1:6" ht="18" hidden="1" x14ac:dyDescent="0.35">
      <c r="A245" s="6" t="s">
        <v>123</v>
      </c>
      <c r="B245" s="6" t="s">
        <v>134</v>
      </c>
      <c r="C245" s="6" t="s">
        <v>105</v>
      </c>
      <c r="D245" s="2">
        <v>50</v>
      </c>
      <c r="E245" s="5">
        <f>IF(C245="", "", IFERROR(VLOOKUP(C245, Price_List!A:D, IF(Dashboard!$B$9="樂觀(Snipe)", 3, IF(Dashboard!$B$9="悲觀(Panic)", 4, 2)), 0), 0))</f>
        <v>560000</v>
      </c>
      <c r="F245" s="5">
        <f t="shared" si="3"/>
        <v>28000000</v>
      </c>
    </row>
    <row r="246" spans="1:6" ht="18" hidden="1" x14ac:dyDescent="0.35">
      <c r="A246" s="6" t="s">
        <v>123</v>
      </c>
      <c r="B246" s="6" t="s">
        <v>134</v>
      </c>
      <c r="C246" s="6" t="s">
        <v>128</v>
      </c>
      <c r="D246" s="2">
        <v>122</v>
      </c>
      <c r="E246" s="5">
        <f>IF(C246="", "", IFERROR(VLOOKUP(C246, Price_List!A:D, IF(Dashboard!$B$9="樂觀(Snipe)", 3, IF(Dashboard!$B$9="悲觀(Panic)", 4, 2)), 0), 0))</f>
        <v>2500000</v>
      </c>
      <c r="F246" s="5">
        <f t="shared" si="3"/>
        <v>305000000</v>
      </c>
    </row>
    <row r="247" spans="1:6" ht="18" hidden="1" x14ac:dyDescent="0.35">
      <c r="A247" s="6" t="s">
        <v>123</v>
      </c>
      <c r="B247" s="6" t="s">
        <v>134</v>
      </c>
      <c r="C247" s="6" t="s">
        <v>106</v>
      </c>
      <c r="D247" s="2">
        <v>18</v>
      </c>
      <c r="E247" s="5">
        <f>IF(C247="", "", IFERROR(VLOOKUP(C247, Price_List!A:D, IF(Dashboard!$B$9="樂觀(Snipe)", 3, IF(Dashboard!$B$9="悲觀(Panic)", 4, 2)), 0), 0))</f>
        <v>2199999</v>
      </c>
      <c r="F247" s="5">
        <f t="shared" si="3"/>
        <v>39599982</v>
      </c>
    </row>
    <row r="248" spans="1:6" ht="18" hidden="1" x14ac:dyDescent="0.35">
      <c r="A248" s="6" t="s">
        <v>123</v>
      </c>
      <c r="B248" s="6" t="s">
        <v>134</v>
      </c>
      <c r="C248" s="6" t="s">
        <v>122</v>
      </c>
      <c r="D248" s="2">
        <v>27</v>
      </c>
      <c r="E248" s="5">
        <f>IF(C248="", "", IFERROR(VLOOKUP(C248, Price_List!A:D, IF(Dashboard!$B$9="樂觀(Snipe)", 3, IF(Dashboard!$B$9="悲觀(Panic)", 4, 2)), 0), 0))</f>
        <v>1650000</v>
      </c>
      <c r="F248" s="5">
        <f t="shared" si="3"/>
        <v>44550000</v>
      </c>
    </row>
    <row r="249" spans="1:6" ht="18" hidden="1" x14ac:dyDescent="0.35">
      <c r="A249" s="6" t="s">
        <v>123</v>
      </c>
      <c r="B249" s="6" t="s">
        <v>134</v>
      </c>
      <c r="C249" s="6" t="s">
        <v>124</v>
      </c>
      <c r="D249" s="2">
        <v>42</v>
      </c>
      <c r="E249" s="5">
        <f>IF(C249="", "", IFERROR(VLOOKUP(C249, Price_List!A:D, IF(Dashboard!$B$9="樂觀(Snipe)", 3, IF(Dashboard!$B$9="悲觀(Panic)", 4, 2)), 0), 0))</f>
        <v>899999</v>
      </c>
      <c r="F249" s="5">
        <f t="shared" si="3"/>
        <v>37799958</v>
      </c>
    </row>
    <row r="250" spans="1:6" ht="18" hidden="1" x14ac:dyDescent="0.35">
      <c r="A250" s="6" t="s">
        <v>123</v>
      </c>
      <c r="B250" s="6" t="s">
        <v>134</v>
      </c>
      <c r="C250" s="6" t="s">
        <v>125</v>
      </c>
      <c r="D250" s="2">
        <v>19</v>
      </c>
      <c r="E250" s="5">
        <f>IF(C250="", "", IFERROR(VLOOKUP(C250, Price_List!A:D, IF(Dashboard!$B$9="樂觀(Snipe)", 3, IF(Dashboard!$B$9="悲觀(Panic)", 4, 2)), 0), 0))</f>
        <v>6879998</v>
      </c>
      <c r="F250" s="5">
        <f t="shared" si="3"/>
        <v>130719962</v>
      </c>
    </row>
    <row r="251" spans="1:6" ht="18" hidden="1" x14ac:dyDescent="0.35">
      <c r="A251" s="6" t="s">
        <v>123</v>
      </c>
      <c r="B251" s="6" t="s">
        <v>134</v>
      </c>
      <c r="C251" s="6" t="s">
        <v>107</v>
      </c>
      <c r="D251" s="2">
        <v>121</v>
      </c>
      <c r="E251" s="5">
        <f>IF(C251="", "", IFERROR(VLOOKUP(C251, Price_List!A:D, IF(Dashboard!$B$9="樂觀(Snipe)", 3, IF(Dashboard!$B$9="悲觀(Panic)", 4, 2)), 0), 0))</f>
        <v>205000</v>
      </c>
      <c r="F251" s="5">
        <f t="shared" si="3"/>
        <v>24805000</v>
      </c>
    </row>
    <row r="252" spans="1:6" ht="18" hidden="1" x14ac:dyDescent="0.35">
      <c r="A252" s="6" t="s">
        <v>123</v>
      </c>
      <c r="B252" s="6" t="s">
        <v>134</v>
      </c>
      <c r="C252" s="6" t="s">
        <v>108</v>
      </c>
      <c r="D252" s="2">
        <v>70</v>
      </c>
      <c r="E252" s="5">
        <f>IF(C252="", "", IFERROR(VLOOKUP(C252, Price_List!A:D, IF(Dashboard!$B$9="樂觀(Snipe)", 3, IF(Dashboard!$B$9="悲觀(Panic)", 4, 2)), 0), 0))</f>
        <v>189998</v>
      </c>
      <c r="F252" s="5">
        <f t="shared" si="3"/>
        <v>13299860</v>
      </c>
    </row>
    <row r="253" spans="1:6" ht="18" hidden="1" x14ac:dyDescent="0.35">
      <c r="A253" s="6" t="s">
        <v>123</v>
      </c>
      <c r="B253" s="6" t="s">
        <v>111</v>
      </c>
      <c r="C253" s="6" t="s">
        <v>116</v>
      </c>
      <c r="D253" s="2">
        <v>5</v>
      </c>
      <c r="E253" s="5">
        <f>IF(C253="", "", IFERROR(VLOOKUP(C253, Price_List!A:D, IF(Dashboard!$B$9="樂觀(Snipe)", 3, IF(Dashboard!$B$9="悲觀(Panic)", 4, 2)), 0), 0))</f>
        <v>12000000</v>
      </c>
      <c r="F253" s="5">
        <f t="shared" si="3"/>
        <v>60000000</v>
      </c>
    </row>
    <row r="254" spans="1:6" ht="18" hidden="1" x14ac:dyDescent="0.35">
      <c r="A254" s="6" t="s">
        <v>123</v>
      </c>
      <c r="B254" s="6" t="s">
        <v>111</v>
      </c>
      <c r="C254" s="6" t="s">
        <v>105</v>
      </c>
      <c r="D254" s="2">
        <v>33</v>
      </c>
      <c r="E254" s="5">
        <f>IF(C254="", "", IFERROR(VLOOKUP(C254, Price_List!A:D, IF(Dashboard!$B$9="樂觀(Snipe)", 3, IF(Dashboard!$B$9="悲觀(Panic)", 4, 2)), 0), 0))</f>
        <v>560000</v>
      </c>
      <c r="F254" s="5">
        <f t="shared" si="3"/>
        <v>18480000</v>
      </c>
    </row>
    <row r="255" spans="1:6" ht="18" hidden="1" x14ac:dyDescent="0.35">
      <c r="A255" s="6" t="s">
        <v>123</v>
      </c>
      <c r="B255" s="6" t="s">
        <v>111</v>
      </c>
      <c r="C255" s="6" t="s">
        <v>100</v>
      </c>
      <c r="D255" s="2">
        <v>81</v>
      </c>
      <c r="E255" s="5">
        <f>IF(C255="", "", IFERROR(VLOOKUP(C255, Price_List!A:D, IF(Dashboard!$B$9="樂觀(Snipe)", 3, IF(Dashboard!$B$9="悲觀(Panic)", 4, 2)), 0), 0))</f>
        <v>220000</v>
      </c>
      <c r="F255" s="5">
        <f t="shared" si="3"/>
        <v>17820000</v>
      </c>
    </row>
    <row r="256" spans="1:6" ht="18" hidden="1" x14ac:dyDescent="0.35">
      <c r="A256" s="6" t="s">
        <v>123</v>
      </c>
      <c r="B256" s="6" t="s">
        <v>111</v>
      </c>
      <c r="C256" s="6" t="s">
        <v>106</v>
      </c>
      <c r="D256" s="2">
        <v>12</v>
      </c>
      <c r="E256" s="5">
        <f>IF(C256="", "", IFERROR(VLOOKUP(C256, Price_List!A:D, IF(Dashboard!$B$9="樂觀(Snipe)", 3, IF(Dashboard!$B$9="悲觀(Panic)", 4, 2)), 0), 0))</f>
        <v>2199999</v>
      </c>
      <c r="F256" s="5">
        <f t="shared" si="3"/>
        <v>26399988</v>
      </c>
    </row>
    <row r="257" spans="1:6" ht="18" hidden="1" x14ac:dyDescent="0.35">
      <c r="A257" s="6" t="s">
        <v>123</v>
      </c>
      <c r="B257" s="6" t="s">
        <v>111</v>
      </c>
      <c r="C257" s="6" t="s">
        <v>122</v>
      </c>
      <c r="D257" s="2">
        <v>18</v>
      </c>
      <c r="E257" s="5">
        <f>IF(C257="", "", IFERROR(VLOOKUP(C257, Price_List!A:D, IF(Dashboard!$B$9="樂觀(Snipe)", 3, IF(Dashboard!$B$9="悲觀(Panic)", 4, 2)), 0), 0))</f>
        <v>1650000</v>
      </c>
      <c r="F257" s="5">
        <f t="shared" si="3"/>
        <v>29700000</v>
      </c>
    </row>
    <row r="258" spans="1:6" ht="18" hidden="1" x14ac:dyDescent="0.35">
      <c r="A258" s="6" t="s">
        <v>123</v>
      </c>
      <c r="B258" s="6" t="s">
        <v>111</v>
      </c>
      <c r="C258" s="6" t="s">
        <v>124</v>
      </c>
      <c r="D258" s="2">
        <v>28</v>
      </c>
      <c r="E258" s="5">
        <f>IF(C258="", "", IFERROR(VLOOKUP(C258, Price_List!A:D, IF(Dashboard!$B$9="樂觀(Snipe)", 3, IF(Dashboard!$B$9="悲觀(Panic)", 4, 2)), 0), 0))</f>
        <v>899999</v>
      </c>
      <c r="F258" s="5">
        <f t="shared" ref="F258:F321" si="4">IF(C258="", "", D258*E258)</f>
        <v>25199972</v>
      </c>
    </row>
    <row r="259" spans="1:6" ht="18" hidden="1" x14ac:dyDescent="0.35">
      <c r="A259" s="6" t="s">
        <v>123</v>
      </c>
      <c r="B259" s="6" t="s">
        <v>111</v>
      </c>
      <c r="C259" s="6" t="s">
        <v>125</v>
      </c>
      <c r="D259" s="2">
        <v>13</v>
      </c>
      <c r="E259" s="5">
        <f>IF(C259="", "", IFERROR(VLOOKUP(C259, Price_List!A:D, IF(Dashboard!$B$9="樂觀(Snipe)", 3, IF(Dashboard!$B$9="悲觀(Panic)", 4, 2)), 0), 0))</f>
        <v>6879998</v>
      </c>
      <c r="F259" s="5">
        <f t="shared" si="4"/>
        <v>89439974</v>
      </c>
    </row>
    <row r="260" spans="1:6" ht="18" hidden="1" x14ac:dyDescent="0.35">
      <c r="A260" s="6" t="s">
        <v>123</v>
      </c>
      <c r="B260" s="6" t="s">
        <v>111</v>
      </c>
      <c r="C260" s="6" t="s">
        <v>107</v>
      </c>
      <c r="D260" s="2">
        <v>81</v>
      </c>
      <c r="E260" s="5">
        <f>IF(C260="", "", IFERROR(VLOOKUP(C260, Price_List!A:D, IF(Dashboard!$B$9="樂觀(Snipe)", 3, IF(Dashboard!$B$9="悲觀(Panic)", 4, 2)), 0), 0))</f>
        <v>205000</v>
      </c>
      <c r="F260" s="5">
        <f t="shared" si="4"/>
        <v>16605000</v>
      </c>
    </row>
    <row r="261" spans="1:6" ht="18" hidden="1" x14ac:dyDescent="0.35">
      <c r="A261" s="6" t="s">
        <v>123</v>
      </c>
      <c r="B261" s="6" t="s">
        <v>111</v>
      </c>
      <c r="C261" s="6" t="s">
        <v>108</v>
      </c>
      <c r="D261" s="2">
        <v>47</v>
      </c>
      <c r="E261" s="5">
        <f>IF(C261="", "", IFERROR(VLOOKUP(C261, Price_List!A:D, IF(Dashboard!$B$9="樂觀(Snipe)", 3, IF(Dashboard!$B$9="悲觀(Panic)", 4, 2)), 0), 0))</f>
        <v>189998</v>
      </c>
      <c r="F261" s="5">
        <f t="shared" si="4"/>
        <v>8929906</v>
      </c>
    </row>
    <row r="262" spans="1:6" ht="18" hidden="1" x14ac:dyDescent="0.35">
      <c r="A262" s="6" t="s">
        <v>123</v>
      </c>
      <c r="B262" s="6" t="s">
        <v>130</v>
      </c>
      <c r="C262" s="6" t="s">
        <v>129</v>
      </c>
      <c r="D262" s="2">
        <v>5</v>
      </c>
      <c r="E262" s="5">
        <f>IF(C262="", "", IFERROR(VLOOKUP(C262, Price_List!A:D, IF(Dashboard!$B$9="樂觀(Snipe)", 3, IF(Dashboard!$B$9="悲觀(Panic)", 4, 2)), 0), 0))</f>
        <v>3429999</v>
      </c>
      <c r="F262" s="5">
        <f t="shared" si="4"/>
        <v>17149995</v>
      </c>
    </row>
    <row r="263" spans="1:6" ht="18" hidden="1" x14ac:dyDescent="0.35">
      <c r="A263" s="6" t="s">
        <v>123</v>
      </c>
      <c r="B263" s="6" t="s">
        <v>130</v>
      </c>
      <c r="C263" s="6" t="s">
        <v>105</v>
      </c>
      <c r="D263" s="2">
        <v>50</v>
      </c>
      <c r="E263" s="5">
        <f>IF(C263="", "", IFERROR(VLOOKUP(C263, Price_List!A:D, IF(Dashboard!$B$9="樂觀(Snipe)", 3, IF(Dashboard!$B$9="悲觀(Panic)", 4, 2)), 0), 0))</f>
        <v>560000</v>
      </c>
      <c r="F263" s="5">
        <f t="shared" si="4"/>
        <v>28000000</v>
      </c>
    </row>
    <row r="264" spans="1:6" ht="18" hidden="1" x14ac:dyDescent="0.35">
      <c r="A264" s="6" t="s">
        <v>123</v>
      </c>
      <c r="B264" s="6" t="s">
        <v>130</v>
      </c>
      <c r="C264" s="6" t="s">
        <v>128</v>
      </c>
      <c r="D264" s="2">
        <v>122</v>
      </c>
      <c r="E264" s="5">
        <f>IF(C264="", "", IFERROR(VLOOKUP(C264, Price_List!A:D, IF(Dashboard!$B$9="樂觀(Snipe)", 3, IF(Dashboard!$B$9="悲觀(Panic)", 4, 2)), 0), 0))</f>
        <v>2500000</v>
      </c>
      <c r="F264" s="5">
        <f t="shared" si="4"/>
        <v>305000000</v>
      </c>
    </row>
    <row r="265" spans="1:6" ht="18" hidden="1" x14ac:dyDescent="0.35">
      <c r="A265" s="6" t="s">
        <v>123</v>
      </c>
      <c r="B265" s="6" t="s">
        <v>130</v>
      </c>
      <c r="C265" s="6" t="s">
        <v>106</v>
      </c>
      <c r="D265" s="2">
        <v>18</v>
      </c>
      <c r="E265" s="5">
        <f>IF(C265="", "", IFERROR(VLOOKUP(C265, Price_List!A:D, IF(Dashboard!$B$9="樂觀(Snipe)", 3, IF(Dashboard!$B$9="悲觀(Panic)", 4, 2)), 0), 0))</f>
        <v>2199999</v>
      </c>
      <c r="F265" s="5">
        <f t="shared" si="4"/>
        <v>39599982</v>
      </c>
    </row>
    <row r="266" spans="1:6" ht="18" hidden="1" x14ac:dyDescent="0.35">
      <c r="A266" s="6" t="s">
        <v>123</v>
      </c>
      <c r="B266" s="6" t="s">
        <v>130</v>
      </c>
      <c r="C266" s="6" t="s">
        <v>122</v>
      </c>
      <c r="D266" s="2">
        <v>27</v>
      </c>
      <c r="E266" s="5">
        <f>IF(C266="", "", IFERROR(VLOOKUP(C266, Price_List!A:D, IF(Dashboard!$B$9="樂觀(Snipe)", 3, IF(Dashboard!$B$9="悲觀(Panic)", 4, 2)), 0), 0))</f>
        <v>1650000</v>
      </c>
      <c r="F266" s="5">
        <f t="shared" si="4"/>
        <v>44550000</v>
      </c>
    </row>
    <row r="267" spans="1:6" ht="18" hidden="1" x14ac:dyDescent="0.35">
      <c r="A267" s="6" t="s">
        <v>123</v>
      </c>
      <c r="B267" s="6" t="s">
        <v>130</v>
      </c>
      <c r="C267" s="6" t="s">
        <v>124</v>
      </c>
      <c r="D267" s="2">
        <v>42</v>
      </c>
      <c r="E267" s="5">
        <f>IF(C267="", "", IFERROR(VLOOKUP(C267, Price_List!A:D, IF(Dashboard!$B$9="樂觀(Snipe)", 3, IF(Dashboard!$B$9="悲觀(Panic)", 4, 2)), 0), 0))</f>
        <v>899999</v>
      </c>
      <c r="F267" s="5">
        <f t="shared" si="4"/>
        <v>37799958</v>
      </c>
    </row>
    <row r="268" spans="1:6" ht="18" hidden="1" x14ac:dyDescent="0.35">
      <c r="A268" s="6" t="s">
        <v>123</v>
      </c>
      <c r="B268" s="6" t="s">
        <v>130</v>
      </c>
      <c r="C268" s="6" t="s">
        <v>125</v>
      </c>
      <c r="D268" s="2">
        <v>19</v>
      </c>
      <c r="E268" s="5">
        <f>IF(C268="", "", IFERROR(VLOOKUP(C268, Price_List!A:D, IF(Dashboard!$B$9="樂觀(Snipe)", 3, IF(Dashboard!$B$9="悲觀(Panic)", 4, 2)), 0), 0))</f>
        <v>6879998</v>
      </c>
      <c r="F268" s="5">
        <f t="shared" si="4"/>
        <v>130719962</v>
      </c>
    </row>
    <row r="269" spans="1:6" ht="18" hidden="1" x14ac:dyDescent="0.35">
      <c r="A269" s="6" t="s">
        <v>123</v>
      </c>
      <c r="B269" s="6" t="s">
        <v>130</v>
      </c>
      <c r="C269" s="6" t="s">
        <v>107</v>
      </c>
      <c r="D269" s="2">
        <v>121</v>
      </c>
      <c r="E269" s="5">
        <f>IF(C269="", "", IFERROR(VLOOKUP(C269, Price_List!A:D, IF(Dashboard!$B$9="樂觀(Snipe)", 3, IF(Dashboard!$B$9="悲觀(Panic)", 4, 2)), 0), 0))</f>
        <v>205000</v>
      </c>
      <c r="F269" s="5">
        <f t="shared" si="4"/>
        <v>24805000</v>
      </c>
    </row>
    <row r="270" spans="1:6" ht="18" hidden="1" x14ac:dyDescent="0.35">
      <c r="A270" s="6" t="s">
        <v>123</v>
      </c>
      <c r="B270" s="6" t="s">
        <v>130</v>
      </c>
      <c r="C270" s="6" t="s">
        <v>108</v>
      </c>
      <c r="D270" s="2">
        <v>70</v>
      </c>
      <c r="E270" s="5">
        <f>IF(C270="", "", IFERROR(VLOOKUP(C270, Price_List!A:D, IF(Dashboard!$B$9="樂觀(Snipe)", 3, IF(Dashboard!$B$9="悲觀(Panic)", 4, 2)), 0), 0))</f>
        <v>189998</v>
      </c>
      <c r="F270" s="5">
        <f t="shared" si="4"/>
        <v>13299860</v>
      </c>
    </row>
    <row r="271" spans="1:6" ht="18" hidden="1" x14ac:dyDescent="0.35">
      <c r="A271" s="6" t="s">
        <v>123</v>
      </c>
      <c r="B271" s="6" t="s">
        <v>114</v>
      </c>
      <c r="C271" s="6" t="s">
        <v>119</v>
      </c>
      <c r="D271" s="2">
        <v>5</v>
      </c>
      <c r="E271" s="5">
        <f>IF(C271="", "", IFERROR(VLOOKUP(C271, Price_List!A:D, IF(Dashboard!$B$9="樂觀(Snipe)", 3, IF(Dashboard!$B$9="悲觀(Panic)", 4, 2)), 0), 0))</f>
        <v>10400000</v>
      </c>
      <c r="F271" s="5">
        <f t="shared" si="4"/>
        <v>52000000</v>
      </c>
    </row>
    <row r="272" spans="1:6" ht="18" hidden="1" x14ac:dyDescent="0.35">
      <c r="A272" s="6" t="s">
        <v>123</v>
      </c>
      <c r="B272" s="6" t="s">
        <v>114</v>
      </c>
      <c r="C272" s="6" t="s">
        <v>105</v>
      </c>
      <c r="D272" s="2">
        <v>21</v>
      </c>
      <c r="E272" s="5">
        <f>IF(C272="", "", IFERROR(VLOOKUP(C272, Price_List!A:D, IF(Dashboard!$B$9="樂觀(Snipe)", 3, IF(Dashboard!$B$9="悲觀(Panic)", 4, 2)), 0), 0))</f>
        <v>560000</v>
      </c>
      <c r="F272" s="5">
        <f t="shared" si="4"/>
        <v>11760000</v>
      </c>
    </row>
    <row r="273" spans="1:6" ht="18" hidden="1" x14ac:dyDescent="0.35">
      <c r="A273" s="6" t="s">
        <v>123</v>
      </c>
      <c r="B273" s="6" t="s">
        <v>114</v>
      </c>
      <c r="C273" s="6" t="s">
        <v>100</v>
      </c>
      <c r="D273" s="2">
        <v>51</v>
      </c>
      <c r="E273" s="5">
        <f>IF(C273="", "", IFERROR(VLOOKUP(C273, Price_List!A:D, IF(Dashboard!$B$9="樂觀(Snipe)", 3, IF(Dashboard!$B$9="悲觀(Panic)", 4, 2)), 0), 0))</f>
        <v>220000</v>
      </c>
      <c r="F273" s="5">
        <f t="shared" si="4"/>
        <v>11220000</v>
      </c>
    </row>
    <row r="274" spans="1:6" ht="18" hidden="1" x14ac:dyDescent="0.35">
      <c r="A274" s="6" t="s">
        <v>123</v>
      </c>
      <c r="B274" s="6" t="s">
        <v>114</v>
      </c>
      <c r="C274" s="6" t="s">
        <v>106</v>
      </c>
      <c r="D274" s="2">
        <v>8</v>
      </c>
      <c r="E274" s="5">
        <f>IF(C274="", "", IFERROR(VLOOKUP(C274, Price_List!A:D, IF(Dashboard!$B$9="樂觀(Snipe)", 3, IF(Dashboard!$B$9="悲觀(Panic)", 4, 2)), 0), 0))</f>
        <v>2199999</v>
      </c>
      <c r="F274" s="5">
        <f t="shared" si="4"/>
        <v>17599992</v>
      </c>
    </row>
    <row r="275" spans="1:6" ht="18" hidden="1" x14ac:dyDescent="0.35">
      <c r="A275" s="6" t="s">
        <v>123</v>
      </c>
      <c r="B275" s="6" t="s">
        <v>114</v>
      </c>
      <c r="C275" s="6" t="s">
        <v>122</v>
      </c>
      <c r="D275" s="2">
        <v>13</v>
      </c>
      <c r="E275" s="5">
        <f>IF(C275="", "", IFERROR(VLOOKUP(C275, Price_List!A:D, IF(Dashboard!$B$9="樂觀(Snipe)", 3, IF(Dashboard!$B$9="悲觀(Panic)", 4, 2)), 0), 0))</f>
        <v>1650000</v>
      </c>
      <c r="F275" s="5">
        <f t="shared" si="4"/>
        <v>21450000</v>
      </c>
    </row>
    <row r="276" spans="1:6" ht="18" hidden="1" x14ac:dyDescent="0.35">
      <c r="A276" s="6" t="s">
        <v>123</v>
      </c>
      <c r="B276" s="6" t="s">
        <v>114</v>
      </c>
      <c r="C276" s="6" t="s">
        <v>124</v>
      </c>
      <c r="D276" s="2">
        <v>18</v>
      </c>
      <c r="E276" s="5">
        <f>IF(C276="", "", IFERROR(VLOOKUP(C276, Price_List!A:D, IF(Dashboard!$B$9="樂觀(Snipe)", 3, IF(Dashboard!$B$9="悲觀(Panic)", 4, 2)), 0), 0))</f>
        <v>899999</v>
      </c>
      <c r="F276" s="5">
        <f t="shared" si="4"/>
        <v>16199982</v>
      </c>
    </row>
    <row r="277" spans="1:6" ht="18" hidden="1" x14ac:dyDescent="0.35">
      <c r="A277" s="6" t="s">
        <v>123</v>
      </c>
      <c r="B277" s="6" t="s">
        <v>114</v>
      </c>
      <c r="C277" s="6" t="s">
        <v>125</v>
      </c>
      <c r="D277" s="2">
        <v>8</v>
      </c>
      <c r="E277" s="5">
        <f>IF(C277="", "", IFERROR(VLOOKUP(C277, Price_List!A:D, IF(Dashboard!$B$9="樂觀(Snipe)", 3, IF(Dashboard!$B$9="悲觀(Panic)", 4, 2)), 0), 0))</f>
        <v>6879998</v>
      </c>
      <c r="F277" s="5">
        <f t="shared" si="4"/>
        <v>55039984</v>
      </c>
    </row>
    <row r="278" spans="1:6" ht="18" hidden="1" x14ac:dyDescent="0.35">
      <c r="A278" s="6" t="s">
        <v>123</v>
      </c>
      <c r="B278" s="6" t="s">
        <v>114</v>
      </c>
      <c r="C278" s="6" t="s">
        <v>107</v>
      </c>
      <c r="D278" s="2">
        <v>51</v>
      </c>
      <c r="E278" s="5">
        <f>IF(C278="", "", IFERROR(VLOOKUP(C278, Price_List!A:D, IF(Dashboard!$B$9="樂觀(Snipe)", 3, IF(Dashboard!$B$9="悲觀(Panic)", 4, 2)), 0), 0))</f>
        <v>205000</v>
      </c>
      <c r="F278" s="5">
        <f t="shared" si="4"/>
        <v>10455000</v>
      </c>
    </row>
    <row r="279" spans="1:6" ht="18" hidden="1" x14ac:dyDescent="0.35">
      <c r="A279" s="6" t="s">
        <v>123</v>
      </c>
      <c r="B279" s="6" t="s">
        <v>114</v>
      </c>
      <c r="C279" s="6" t="s">
        <v>108</v>
      </c>
      <c r="D279" s="2">
        <v>29</v>
      </c>
      <c r="E279" s="5">
        <f>IF(C279="", "", IFERROR(VLOOKUP(C279, Price_List!A:D, IF(Dashboard!$B$9="樂觀(Snipe)", 3, IF(Dashboard!$B$9="悲觀(Panic)", 4, 2)), 0), 0))</f>
        <v>189998</v>
      </c>
      <c r="F279" s="5">
        <f t="shared" si="4"/>
        <v>5509942</v>
      </c>
    </row>
    <row r="280" spans="1:6" ht="18" hidden="1" x14ac:dyDescent="0.35">
      <c r="A280" s="6" t="s">
        <v>123</v>
      </c>
      <c r="B280" s="6" t="s">
        <v>109</v>
      </c>
      <c r="C280" s="6" t="s">
        <v>110</v>
      </c>
      <c r="D280" s="2">
        <v>5</v>
      </c>
      <c r="E280" s="5">
        <f>IF(C280="", "", IFERROR(VLOOKUP(C280, Price_List!A:D, IF(Dashboard!$B$9="樂觀(Snipe)", 3, IF(Dashboard!$B$9="悲觀(Panic)", 4, 2)), 0), 0))</f>
        <v>9999999</v>
      </c>
      <c r="F280" s="5">
        <f t="shared" si="4"/>
        <v>49999995</v>
      </c>
    </row>
    <row r="281" spans="1:6" ht="18" hidden="1" x14ac:dyDescent="0.35">
      <c r="A281" s="6" t="s">
        <v>123</v>
      </c>
      <c r="B281" s="6" t="s">
        <v>109</v>
      </c>
      <c r="C281" s="6" t="s">
        <v>105</v>
      </c>
      <c r="D281" s="2">
        <v>21</v>
      </c>
      <c r="E281" s="5">
        <f>IF(C281="", "", IFERROR(VLOOKUP(C281, Price_List!A:D, IF(Dashboard!$B$9="樂觀(Snipe)", 3, IF(Dashboard!$B$9="悲觀(Panic)", 4, 2)), 0), 0))</f>
        <v>560000</v>
      </c>
      <c r="F281" s="5">
        <f t="shared" si="4"/>
        <v>11760000</v>
      </c>
    </row>
    <row r="282" spans="1:6" ht="18" hidden="1" x14ac:dyDescent="0.35">
      <c r="A282" s="6" t="s">
        <v>123</v>
      </c>
      <c r="B282" s="6" t="s">
        <v>109</v>
      </c>
      <c r="C282" s="6" t="s">
        <v>100</v>
      </c>
      <c r="D282" s="2">
        <v>51</v>
      </c>
      <c r="E282" s="5">
        <f>IF(C282="", "", IFERROR(VLOOKUP(C282, Price_List!A:D, IF(Dashboard!$B$9="樂觀(Snipe)", 3, IF(Dashboard!$B$9="悲觀(Panic)", 4, 2)), 0), 0))</f>
        <v>220000</v>
      </c>
      <c r="F282" s="5">
        <f t="shared" si="4"/>
        <v>11220000</v>
      </c>
    </row>
    <row r="283" spans="1:6" ht="18" hidden="1" x14ac:dyDescent="0.35">
      <c r="A283" s="6" t="s">
        <v>123</v>
      </c>
      <c r="B283" s="6" t="s">
        <v>109</v>
      </c>
      <c r="C283" s="6" t="s">
        <v>106</v>
      </c>
      <c r="D283" s="2">
        <v>7</v>
      </c>
      <c r="E283" s="5">
        <f>IF(C283="", "", IFERROR(VLOOKUP(C283, Price_List!A:D, IF(Dashboard!$B$9="樂觀(Snipe)", 3, IF(Dashboard!$B$9="悲觀(Panic)", 4, 2)), 0), 0))</f>
        <v>2199999</v>
      </c>
      <c r="F283" s="5">
        <f t="shared" si="4"/>
        <v>15399993</v>
      </c>
    </row>
    <row r="284" spans="1:6" ht="18" hidden="1" x14ac:dyDescent="0.35">
      <c r="A284" s="6" t="s">
        <v>123</v>
      </c>
      <c r="B284" s="6" t="s">
        <v>109</v>
      </c>
      <c r="C284" s="6" t="s">
        <v>122</v>
      </c>
      <c r="D284" s="2">
        <v>12</v>
      </c>
      <c r="E284" s="5">
        <f>IF(C284="", "", IFERROR(VLOOKUP(C284, Price_List!A:D, IF(Dashboard!$B$9="樂觀(Snipe)", 3, IF(Dashboard!$B$9="悲觀(Panic)", 4, 2)), 0), 0))</f>
        <v>1650000</v>
      </c>
      <c r="F284" s="5">
        <f t="shared" si="4"/>
        <v>19800000</v>
      </c>
    </row>
    <row r="285" spans="1:6" ht="18" hidden="1" x14ac:dyDescent="0.35">
      <c r="A285" s="6" t="s">
        <v>123</v>
      </c>
      <c r="B285" s="6" t="s">
        <v>109</v>
      </c>
      <c r="C285" s="6" t="s">
        <v>124</v>
      </c>
      <c r="D285" s="2">
        <v>17</v>
      </c>
      <c r="E285" s="5">
        <f>IF(C285="", "", IFERROR(VLOOKUP(C285, Price_List!A:D, IF(Dashboard!$B$9="樂觀(Snipe)", 3, IF(Dashboard!$B$9="悲觀(Panic)", 4, 2)), 0), 0))</f>
        <v>899999</v>
      </c>
      <c r="F285" s="5">
        <f t="shared" si="4"/>
        <v>15299983</v>
      </c>
    </row>
    <row r="286" spans="1:6" ht="18" hidden="1" x14ac:dyDescent="0.35">
      <c r="A286" s="6" t="s">
        <v>123</v>
      </c>
      <c r="B286" s="6" t="s">
        <v>109</v>
      </c>
      <c r="C286" s="6" t="s">
        <v>125</v>
      </c>
      <c r="D286" s="2">
        <v>8</v>
      </c>
      <c r="E286" s="5">
        <f>IF(C286="", "", IFERROR(VLOOKUP(C286, Price_List!A:D, IF(Dashboard!$B$9="樂觀(Snipe)", 3, IF(Dashboard!$B$9="悲觀(Panic)", 4, 2)), 0), 0))</f>
        <v>6879998</v>
      </c>
      <c r="F286" s="5">
        <f t="shared" si="4"/>
        <v>55039984</v>
      </c>
    </row>
    <row r="287" spans="1:6" ht="18" hidden="1" x14ac:dyDescent="0.35">
      <c r="A287" s="6" t="s">
        <v>123</v>
      </c>
      <c r="B287" s="6" t="s">
        <v>109</v>
      </c>
      <c r="C287" s="6" t="s">
        <v>107</v>
      </c>
      <c r="D287" s="2">
        <v>51</v>
      </c>
      <c r="E287" s="5">
        <f>IF(C287="", "", IFERROR(VLOOKUP(C287, Price_List!A:D, IF(Dashboard!$B$9="樂觀(Snipe)", 3, IF(Dashboard!$B$9="悲觀(Panic)", 4, 2)), 0), 0))</f>
        <v>205000</v>
      </c>
      <c r="F287" s="5">
        <f t="shared" si="4"/>
        <v>10455000</v>
      </c>
    </row>
    <row r="288" spans="1:6" ht="18" hidden="1" x14ac:dyDescent="0.35">
      <c r="A288" s="6" t="s">
        <v>123</v>
      </c>
      <c r="B288" s="6" t="s">
        <v>109</v>
      </c>
      <c r="C288" s="6" t="s">
        <v>108</v>
      </c>
      <c r="D288" s="2">
        <v>29</v>
      </c>
      <c r="E288" s="5">
        <f>IF(C288="", "", IFERROR(VLOOKUP(C288, Price_List!A:D, IF(Dashboard!$B$9="樂觀(Snipe)", 3, IF(Dashboard!$B$9="悲觀(Panic)", 4, 2)), 0), 0))</f>
        <v>189998</v>
      </c>
      <c r="F288" s="5">
        <f t="shared" si="4"/>
        <v>5509942</v>
      </c>
    </row>
    <row r="289" spans="1:6" ht="18" hidden="1" x14ac:dyDescent="0.35">
      <c r="A289" s="6" t="s">
        <v>123</v>
      </c>
      <c r="B289" s="6" t="s">
        <v>115</v>
      </c>
      <c r="C289" s="6" t="s">
        <v>120</v>
      </c>
      <c r="D289" s="2">
        <v>5</v>
      </c>
      <c r="E289" s="5">
        <f>IF(C289="", "", IFERROR(VLOOKUP(C289, Price_List!A:D, IF(Dashboard!$B$9="樂觀(Snipe)", 3, IF(Dashboard!$B$9="悲觀(Panic)", 4, 2)), 0), 0))</f>
        <v>10500000</v>
      </c>
      <c r="F289" s="5">
        <f t="shared" si="4"/>
        <v>52500000</v>
      </c>
    </row>
    <row r="290" spans="1:6" ht="18" hidden="1" x14ac:dyDescent="0.35">
      <c r="A290" s="6" t="s">
        <v>123</v>
      </c>
      <c r="B290" s="6" t="s">
        <v>115</v>
      </c>
      <c r="C290" s="6" t="s">
        <v>105</v>
      </c>
      <c r="D290" s="2">
        <v>17</v>
      </c>
      <c r="E290" s="5">
        <f>IF(C290="", "", IFERROR(VLOOKUP(C290, Price_List!A:D, IF(Dashboard!$B$9="樂觀(Snipe)", 3, IF(Dashboard!$B$9="悲觀(Panic)", 4, 2)), 0), 0))</f>
        <v>560000</v>
      </c>
      <c r="F290" s="5">
        <f t="shared" si="4"/>
        <v>9520000</v>
      </c>
    </row>
    <row r="291" spans="1:6" ht="18" hidden="1" x14ac:dyDescent="0.35">
      <c r="A291" s="6" t="s">
        <v>123</v>
      </c>
      <c r="B291" s="6" t="s">
        <v>115</v>
      </c>
      <c r="C291" s="6" t="s">
        <v>100</v>
      </c>
      <c r="D291" s="2">
        <v>41</v>
      </c>
      <c r="E291" s="5">
        <f>IF(C291="", "", IFERROR(VLOOKUP(C291, Price_List!A:D, IF(Dashboard!$B$9="樂觀(Snipe)", 3, IF(Dashboard!$B$9="悲觀(Panic)", 4, 2)), 0), 0))</f>
        <v>220000</v>
      </c>
      <c r="F291" s="5">
        <f t="shared" si="4"/>
        <v>9020000</v>
      </c>
    </row>
    <row r="292" spans="1:6" ht="18" hidden="1" x14ac:dyDescent="0.35">
      <c r="A292" s="6" t="s">
        <v>123</v>
      </c>
      <c r="B292" s="6" t="s">
        <v>115</v>
      </c>
      <c r="C292" s="6" t="s">
        <v>106</v>
      </c>
      <c r="D292" s="2">
        <v>6</v>
      </c>
      <c r="E292" s="5">
        <f>IF(C292="", "", IFERROR(VLOOKUP(C292, Price_List!A:D, IF(Dashboard!$B$9="樂觀(Snipe)", 3, IF(Dashboard!$B$9="悲觀(Panic)", 4, 2)), 0), 0))</f>
        <v>2199999</v>
      </c>
      <c r="F292" s="5">
        <f t="shared" si="4"/>
        <v>13199994</v>
      </c>
    </row>
    <row r="293" spans="1:6" ht="18" hidden="1" x14ac:dyDescent="0.35">
      <c r="A293" s="6" t="s">
        <v>123</v>
      </c>
      <c r="B293" s="6" t="s">
        <v>115</v>
      </c>
      <c r="C293" s="6" t="s">
        <v>122</v>
      </c>
      <c r="D293" s="2">
        <v>10</v>
      </c>
      <c r="E293" s="5">
        <f>IF(C293="", "", IFERROR(VLOOKUP(C293, Price_List!A:D, IF(Dashboard!$B$9="樂觀(Snipe)", 3, IF(Dashboard!$B$9="悲觀(Panic)", 4, 2)), 0), 0))</f>
        <v>1650000</v>
      </c>
      <c r="F293" s="5">
        <f t="shared" si="4"/>
        <v>16500000</v>
      </c>
    </row>
    <row r="294" spans="1:6" ht="18" hidden="1" x14ac:dyDescent="0.35">
      <c r="A294" s="6" t="s">
        <v>123</v>
      </c>
      <c r="B294" s="6" t="s">
        <v>115</v>
      </c>
      <c r="C294" s="6" t="s">
        <v>124</v>
      </c>
      <c r="D294" s="2">
        <v>14</v>
      </c>
      <c r="E294" s="5">
        <f>IF(C294="", "", IFERROR(VLOOKUP(C294, Price_List!A:D, IF(Dashboard!$B$9="樂觀(Snipe)", 3, IF(Dashboard!$B$9="悲觀(Panic)", 4, 2)), 0), 0))</f>
        <v>899999</v>
      </c>
      <c r="F294" s="5">
        <f t="shared" si="4"/>
        <v>12599986</v>
      </c>
    </row>
    <row r="295" spans="1:6" ht="18" hidden="1" x14ac:dyDescent="0.35">
      <c r="A295" s="6" t="s">
        <v>123</v>
      </c>
      <c r="B295" s="6" t="s">
        <v>115</v>
      </c>
      <c r="C295" s="6" t="s">
        <v>125</v>
      </c>
      <c r="D295" s="2">
        <v>6</v>
      </c>
      <c r="E295" s="5">
        <f>IF(C295="", "", IFERROR(VLOOKUP(C295, Price_List!A:D, IF(Dashboard!$B$9="樂觀(Snipe)", 3, IF(Dashboard!$B$9="悲觀(Panic)", 4, 2)), 0), 0))</f>
        <v>6879998</v>
      </c>
      <c r="F295" s="5">
        <f t="shared" si="4"/>
        <v>41279988</v>
      </c>
    </row>
    <row r="296" spans="1:6" ht="18" hidden="1" x14ac:dyDescent="0.35">
      <c r="A296" s="6" t="s">
        <v>123</v>
      </c>
      <c r="B296" s="6" t="s">
        <v>115</v>
      </c>
      <c r="C296" s="6" t="s">
        <v>107</v>
      </c>
      <c r="D296" s="2">
        <v>41</v>
      </c>
      <c r="E296" s="5">
        <f>IF(C296="", "", IFERROR(VLOOKUP(C296, Price_List!A:D, IF(Dashboard!$B$9="樂觀(Snipe)", 3, IF(Dashboard!$B$9="悲觀(Panic)", 4, 2)), 0), 0))</f>
        <v>205000</v>
      </c>
      <c r="F296" s="5">
        <f t="shared" si="4"/>
        <v>8405000</v>
      </c>
    </row>
    <row r="297" spans="1:6" ht="18" hidden="1" x14ac:dyDescent="0.35">
      <c r="A297" s="6" t="s">
        <v>123</v>
      </c>
      <c r="B297" s="6" t="s">
        <v>115</v>
      </c>
      <c r="C297" s="6" t="s">
        <v>108</v>
      </c>
      <c r="D297" s="2">
        <v>23</v>
      </c>
      <c r="E297" s="5">
        <f>IF(C297="", "", IFERROR(VLOOKUP(C297, Price_List!A:D, IF(Dashboard!$B$9="樂觀(Snipe)", 3, IF(Dashboard!$B$9="悲觀(Panic)", 4, 2)), 0), 0))</f>
        <v>189998</v>
      </c>
      <c r="F297" s="5">
        <f t="shared" si="4"/>
        <v>4369954</v>
      </c>
    </row>
    <row r="298" spans="1:6" ht="18" hidden="1" x14ac:dyDescent="0.35">
      <c r="A298" s="6" t="s">
        <v>123</v>
      </c>
      <c r="B298" s="6" t="s">
        <v>126</v>
      </c>
      <c r="C298" s="6" t="s">
        <v>127</v>
      </c>
      <c r="D298" s="2">
        <v>5</v>
      </c>
      <c r="E298" s="5">
        <f>IF(C298="", "", IFERROR(VLOOKUP(C298, Price_List!A:D, IF(Dashboard!$B$9="樂觀(Snipe)", 3, IF(Dashboard!$B$9="悲觀(Panic)", 4, 2)), 0), 0))</f>
        <v>2866664</v>
      </c>
      <c r="F298" s="5">
        <f t="shared" si="4"/>
        <v>14333320</v>
      </c>
    </row>
    <row r="299" spans="1:6" ht="18" hidden="1" x14ac:dyDescent="0.35">
      <c r="A299" s="6" t="s">
        <v>123</v>
      </c>
      <c r="B299" s="6" t="s">
        <v>126</v>
      </c>
      <c r="C299" s="6" t="s">
        <v>105</v>
      </c>
      <c r="D299" s="2">
        <v>50</v>
      </c>
      <c r="E299" s="5">
        <f>IF(C299="", "", IFERROR(VLOOKUP(C299, Price_List!A:D, IF(Dashboard!$B$9="樂觀(Snipe)", 3, IF(Dashboard!$B$9="悲觀(Panic)", 4, 2)), 0), 0))</f>
        <v>560000</v>
      </c>
      <c r="F299" s="5">
        <f t="shared" si="4"/>
        <v>28000000</v>
      </c>
    </row>
    <row r="300" spans="1:6" ht="18" hidden="1" x14ac:dyDescent="0.35">
      <c r="A300" s="6" t="s">
        <v>123</v>
      </c>
      <c r="B300" s="6" t="s">
        <v>126</v>
      </c>
      <c r="C300" s="6" t="s">
        <v>128</v>
      </c>
      <c r="D300" s="2">
        <v>122</v>
      </c>
      <c r="E300" s="5">
        <f>IF(C300="", "", IFERROR(VLOOKUP(C300, Price_List!A:D, IF(Dashboard!$B$9="樂觀(Snipe)", 3, IF(Dashboard!$B$9="悲觀(Panic)", 4, 2)), 0), 0))</f>
        <v>2500000</v>
      </c>
      <c r="F300" s="5">
        <f t="shared" si="4"/>
        <v>305000000</v>
      </c>
    </row>
    <row r="301" spans="1:6" ht="18" hidden="1" x14ac:dyDescent="0.35">
      <c r="A301" s="6" t="s">
        <v>123</v>
      </c>
      <c r="B301" s="6" t="s">
        <v>126</v>
      </c>
      <c r="C301" s="6" t="s">
        <v>106</v>
      </c>
      <c r="D301" s="2">
        <v>18</v>
      </c>
      <c r="E301" s="5">
        <f>IF(C301="", "", IFERROR(VLOOKUP(C301, Price_List!A:D, IF(Dashboard!$B$9="樂觀(Snipe)", 3, IF(Dashboard!$B$9="悲觀(Panic)", 4, 2)), 0), 0))</f>
        <v>2199999</v>
      </c>
      <c r="F301" s="5">
        <f t="shared" si="4"/>
        <v>39599982</v>
      </c>
    </row>
    <row r="302" spans="1:6" ht="18" hidden="1" x14ac:dyDescent="0.35">
      <c r="A302" s="6" t="s">
        <v>123</v>
      </c>
      <c r="B302" s="6" t="s">
        <v>126</v>
      </c>
      <c r="C302" s="6" t="s">
        <v>122</v>
      </c>
      <c r="D302" s="2">
        <v>27</v>
      </c>
      <c r="E302" s="5">
        <f>IF(C302="", "", IFERROR(VLOOKUP(C302, Price_List!A:D, IF(Dashboard!$B$9="樂觀(Snipe)", 3, IF(Dashboard!$B$9="悲觀(Panic)", 4, 2)), 0), 0))</f>
        <v>1650000</v>
      </c>
      <c r="F302" s="5">
        <f t="shared" si="4"/>
        <v>44550000</v>
      </c>
    </row>
    <row r="303" spans="1:6" ht="18" hidden="1" x14ac:dyDescent="0.35">
      <c r="A303" s="6" t="s">
        <v>123</v>
      </c>
      <c r="B303" s="6" t="s">
        <v>126</v>
      </c>
      <c r="C303" s="6" t="s">
        <v>124</v>
      </c>
      <c r="D303" s="2">
        <v>42</v>
      </c>
      <c r="E303" s="5">
        <f>IF(C303="", "", IFERROR(VLOOKUP(C303, Price_List!A:D, IF(Dashboard!$B$9="樂觀(Snipe)", 3, IF(Dashboard!$B$9="悲觀(Panic)", 4, 2)), 0), 0))</f>
        <v>899999</v>
      </c>
      <c r="F303" s="5">
        <f t="shared" si="4"/>
        <v>37799958</v>
      </c>
    </row>
    <row r="304" spans="1:6" ht="18" hidden="1" x14ac:dyDescent="0.35">
      <c r="A304" s="6" t="s">
        <v>123</v>
      </c>
      <c r="B304" s="6" t="s">
        <v>126</v>
      </c>
      <c r="C304" s="6" t="s">
        <v>125</v>
      </c>
      <c r="D304" s="2">
        <v>19</v>
      </c>
      <c r="E304" s="5">
        <f>IF(C304="", "", IFERROR(VLOOKUP(C304, Price_List!A:D, IF(Dashboard!$B$9="樂觀(Snipe)", 3, IF(Dashboard!$B$9="悲觀(Panic)", 4, 2)), 0), 0))</f>
        <v>6879998</v>
      </c>
      <c r="F304" s="5">
        <f t="shared" si="4"/>
        <v>130719962</v>
      </c>
    </row>
    <row r="305" spans="1:6" ht="18" hidden="1" x14ac:dyDescent="0.35">
      <c r="A305" s="6" t="s">
        <v>123</v>
      </c>
      <c r="B305" s="6" t="s">
        <v>126</v>
      </c>
      <c r="C305" s="6" t="s">
        <v>107</v>
      </c>
      <c r="D305" s="2">
        <v>121</v>
      </c>
      <c r="E305" s="5">
        <f>IF(C305="", "", IFERROR(VLOOKUP(C305, Price_List!A:D, IF(Dashboard!$B$9="樂觀(Snipe)", 3, IF(Dashboard!$B$9="悲觀(Panic)", 4, 2)), 0), 0))</f>
        <v>205000</v>
      </c>
      <c r="F305" s="5">
        <f t="shared" si="4"/>
        <v>24805000</v>
      </c>
    </row>
    <row r="306" spans="1:6" ht="18" hidden="1" x14ac:dyDescent="0.35">
      <c r="A306" s="6" t="s">
        <v>123</v>
      </c>
      <c r="B306" s="6" t="s">
        <v>126</v>
      </c>
      <c r="C306" s="6" t="s">
        <v>108</v>
      </c>
      <c r="D306" s="2">
        <v>70</v>
      </c>
      <c r="E306" s="5">
        <f>IF(C306="", "", IFERROR(VLOOKUP(C306, Price_List!A:D, IF(Dashboard!$B$9="樂觀(Snipe)", 3, IF(Dashboard!$B$9="悲觀(Panic)", 4, 2)), 0), 0))</f>
        <v>189998</v>
      </c>
      <c r="F306" s="5">
        <f t="shared" si="4"/>
        <v>13299860</v>
      </c>
    </row>
    <row r="307" spans="1:6" ht="18" hidden="1" x14ac:dyDescent="0.35">
      <c r="A307" s="6" t="s">
        <v>123</v>
      </c>
      <c r="B307" s="6" t="s">
        <v>113</v>
      </c>
      <c r="C307" s="6" t="s">
        <v>118</v>
      </c>
      <c r="D307" s="2">
        <v>5</v>
      </c>
      <c r="E307" s="5">
        <f>IF(C307="", "", IFERROR(VLOOKUP(C307, Price_List!A:D, IF(Dashboard!$B$9="樂觀(Snipe)", 3, IF(Dashboard!$B$9="悲觀(Panic)", 4, 2)), 0), 0))</f>
        <v>8222222</v>
      </c>
      <c r="F307" s="5">
        <f t="shared" si="4"/>
        <v>41111110</v>
      </c>
    </row>
    <row r="308" spans="1:6" ht="18" hidden="1" x14ac:dyDescent="0.35">
      <c r="A308" s="6" t="s">
        <v>123</v>
      </c>
      <c r="B308" s="6" t="s">
        <v>113</v>
      </c>
      <c r="C308" s="6" t="s">
        <v>105</v>
      </c>
      <c r="D308" s="2">
        <v>17</v>
      </c>
      <c r="E308" s="5">
        <f>IF(C308="", "", IFERROR(VLOOKUP(C308, Price_List!A:D, IF(Dashboard!$B$9="樂觀(Snipe)", 3, IF(Dashboard!$B$9="悲觀(Panic)", 4, 2)), 0), 0))</f>
        <v>560000</v>
      </c>
      <c r="F308" s="5">
        <f t="shared" si="4"/>
        <v>9520000</v>
      </c>
    </row>
    <row r="309" spans="1:6" ht="18" hidden="1" x14ac:dyDescent="0.35">
      <c r="A309" s="6" t="s">
        <v>123</v>
      </c>
      <c r="B309" s="6" t="s">
        <v>113</v>
      </c>
      <c r="C309" s="6" t="s">
        <v>100</v>
      </c>
      <c r="D309" s="2">
        <v>41</v>
      </c>
      <c r="E309" s="5">
        <f>IF(C309="", "", IFERROR(VLOOKUP(C309, Price_List!A:D, IF(Dashboard!$B$9="樂觀(Snipe)", 3, IF(Dashboard!$B$9="悲觀(Panic)", 4, 2)), 0), 0))</f>
        <v>220000</v>
      </c>
      <c r="F309" s="5">
        <f t="shared" si="4"/>
        <v>9020000</v>
      </c>
    </row>
    <row r="310" spans="1:6" ht="18" hidden="1" x14ac:dyDescent="0.35">
      <c r="A310" s="6" t="s">
        <v>123</v>
      </c>
      <c r="B310" s="6" t="s">
        <v>113</v>
      </c>
      <c r="C310" s="6" t="s">
        <v>106</v>
      </c>
      <c r="D310" s="2">
        <v>6</v>
      </c>
      <c r="E310" s="5">
        <f>IF(C310="", "", IFERROR(VLOOKUP(C310, Price_List!A:D, IF(Dashboard!$B$9="樂觀(Snipe)", 3, IF(Dashboard!$B$9="悲觀(Panic)", 4, 2)), 0), 0))</f>
        <v>2199999</v>
      </c>
      <c r="F310" s="5">
        <f t="shared" si="4"/>
        <v>13199994</v>
      </c>
    </row>
    <row r="311" spans="1:6" ht="18" hidden="1" x14ac:dyDescent="0.35">
      <c r="A311" s="6" t="s">
        <v>123</v>
      </c>
      <c r="B311" s="6" t="s">
        <v>113</v>
      </c>
      <c r="C311" s="6" t="s">
        <v>122</v>
      </c>
      <c r="D311" s="2">
        <v>10</v>
      </c>
      <c r="E311" s="5">
        <f>IF(C311="", "", IFERROR(VLOOKUP(C311, Price_List!A:D, IF(Dashboard!$B$9="樂觀(Snipe)", 3, IF(Dashboard!$B$9="悲觀(Panic)", 4, 2)), 0), 0))</f>
        <v>1650000</v>
      </c>
      <c r="F311" s="5">
        <f t="shared" si="4"/>
        <v>16500000</v>
      </c>
    </row>
    <row r="312" spans="1:6" ht="18" hidden="1" x14ac:dyDescent="0.35">
      <c r="A312" s="6" t="s">
        <v>123</v>
      </c>
      <c r="B312" s="6" t="s">
        <v>113</v>
      </c>
      <c r="C312" s="6" t="s">
        <v>124</v>
      </c>
      <c r="D312" s="2">
        <v>14</v>
      </c>
      <c r="E312" s="5">
        <f>IF(C312="", "", IFERROR(VLOOKUP(C312, Price_List!A:D, IF(Dashboard!$B$9="樂觀(Snipe)", 3, IF(Dashboard!$B$9="悲觀(Panic)", 4, 2)), 0), 0))</f>
        <v>899999</v>
      </c>
      <c r="F312" s="5">
        <f t="shared" si="4"/>
        <v>12599986</v>
      </c>
    </row>
    <row r="313" spans="1:6" ht="18" hidden="1" x14ac:dyDescent="0.35">
      <c r="A313" s="6" t="s">
        <v>123</v>
      </c>
      <c r="B313" s="6" t="s">
        <v>113</v>
      </c>
      <c r="C313" s="6" t="s">
        <v>125</v>
      </c>
      <c r="D313" s="2">
        <v>6</v>
      </c>
      <c r="E313" s="5">
        <f>IF(C313="", "", IFERROR(VLOOKUP(C313, Price_List!A:D, IF(Dashboard!$B$9="樂觀(Snipe)", 3, IF(Dashboard!$B$9="悲觀(Panic)", 4, 2)), 0), 0))</f>
        <v>6879998</v>
      </c>
      <c r="F313" s="5">
        <f t="shared" si="4"/>
        <v>41279988</v>
      </c>
    </row>
    <row r="314" spans="1:6" ht="18" hidden="1" x14ac:dyDescent="0.35">
      <c r="A314" s="6" t="s">
        <v>123</v>
      </c>
      <c r="B314" s="6" t="s">
        <v>113</v>
      </c>
      <c r="C314" s="6" t="s">
        <v>107</v>
      </c>
      <c r="D314" s="2">
        <v>41</v>
      </c>
      <c r="E314" s="5">
        <f>IF(C314="", "", IFERROR(VLOOKUP(C314, Price_List!A:D, IF(Dashboard!$B$9="樂觀(Snipe)", 3, IF(Dashboard!$B$9="悲觀(Panic)", 4, 2)), 0), 0))</f>
        <v>205000</v>
      </c>
      <c r="F314" s="5">
        <f t="shared" si="4"/>
        <v>8405000</v>
      </c>
    </row>
    <row r="315" spans="1:6" ht="18" hidden="1" x14ac:dyDescent="0.35">
      <c r="A315" s="6" t="s">
        <v>123</v>
      </c>
      <c r="B315" s="6" t="s">
        <v>113</v>
      </c>
      <c r="C315" s="6" t="s">
        <v>108</v>
      </c>
      <c r="D315" s="2">
        <v>23</v>
      </c>
      <c r="E315" s="5">
        <f>IF(C315="", "", IFERROR(VLOOKUP(C315, Price_List!A:D, IF(Dashboard!$B$9="樂觀(Snipe)", 3, IF(Dashboard!$B$9="悲觀(Panic)", 4, 2)), 0), 0))</f>
        <v>189998</v>
      </c>
      <c r="F315" s="5">
        <f t="shared" si="4"/>
        <v>4369954</v>
      </c>
    </row>
    <row r="316" spans="1:6" ht="18" hidden="1" x14ac:dyDescent="0.35">
      <c r="A316" s="2" t="s">
        <v>38</v>
      </c>
      <c r="B316" s="2" t="s">
        <v>50</v>
      </c>
      <c r="C316" s="2" t="s">
        <v>44</v>
      </c>
      <c r="D316" s="2">
        <v>122</v>
      </c>
      <c r="E316" s="5">
        <f>IF(C316="", "", IFERROR(VLOOKUP(C316, Price_List!A:D, IF(Dashboard!$B$9="樂觀(Snipe)", 3, IF(Dashboard!$B$9="悲觀(Panic)", 4, 2)), 0), 0))</f>
        <v>1222222</v>
      </c>
      <c r="F316" s="5">
        <f t="shared" si="4"/>
        <v>149111084</v>
      </c>
    </row>
    <row r="317" spans="1:6" ht="18" hidden="1" x14ac:dyDescent="0.35">
      <c r="A317" s="2" t="s">
        <v>38</v>
      </c>
      <c r="B317" s="2" t="s">
        <v>50</v>
      </c>
      <c r="C317" s="2" t="s">
        <v>47</v>
      </c>
      <c r="D317" s="2">
        <v>18</v>
      </c>
      <c r="E317" s="5">
        <f>IF(C317="", "", IFERROR(VLOOKUP(C317, Price_List!A:D, IF(Dashboard!$B$9="樂觀(Snipe)", 3, IF(Dashboard!$B$9="悲觀(Panic)", 4, 2)), 0), 0))</f>
        <v>2199999</v>
      </c>
      <c r="F317" s="5">
        <f t="shared" si="4"/>
        <v>39599982</v>
      </c>
    </row>
    <row r="318" spans="1:6" ht="18" hidden="1" x14ac:dyDescent="0.35">
      <c r="A318" s="2" t="s">
        <v>38</v>
      </c>
      <c r="B318" s="2" t="s">
        <v>50</v>
      </c>
      <c r="C318" s="2" t="s">
        <v>49</v>
      </c>
      <c r="D318" s="2">
        <v>27</v>
      </c>
      <c r="E318" s="5">
        <f>IF(C318="", "", IFERROR(VLOOKUP(C318, Price_List!A:D, IF(Dashboard!$B$9="樂觀(Snipe)", 3, IF(Dashboard!$B$9="悲觀(Panic)", 4, 2)), 0), 0))</f>
        <v>1650000</v>
      </c>
      <c r="F318" s="5">
        <f t="shared" si="4"/>
        <v>44550000</v>
      </c>
    </row>
    <row r="319" spans="1:6" ht="18" hidden="1" x14ac:dyDescent="0.35">
      <c r="A319" s="2" t="s">
        <v>38</v>
      </c>
      <c r="B319" s="2" t="s">
        <v>50</v>
      </c>
      <c r="C319" s="2" t="s">
        <v>51</v>
      </c>
      <c r="D319" s="2">
        <v>42</v>
      </c>
      <c r="E319" s="5">
        <f>IF(C319="", "", IFERROR(VLOOKUP(C319, Price_List!A:D, IF(Dashboard!$B$9="樂觀(Snipe)", 3, IF(Dashboard!$B$9="悲觀(Panic)", 4, 2)), 0), 0))</f>
        <v>899999</v>
      </c>
      <c r="F319" s="5">
        <f t="shared" si="4"/>
        <v>37799958</v>
      </c>
    </row>
    <row r="320" spans="1:6" ht="18" hidden="1" x14ac:dyDescent="0.35">
      <c r="A320" s="2" t="s">
        <v>38</v>
      </c>
      <c r="B320" s="2" t="s">
        <v>50</v>
      </c>
      <c r="C320" s="2" t="s">
        <v>55</v>
      </c>
      <c r="D320" s="2">
        <v>70</v>
      </c>
      <c r="E320" s="5">
        <f>IF(C320="", "", IFERROR(VLOOKUP(C320, Price_List!A:D, IF(Dashboard!$B$9="樂觀(Snipe)", 3, IF(Dashboard!$B$9="悲觀(Panic)", 4, 2)), 0), 0))</f>
        <v>189998</v>
      </c>
      <c r="F320" s="5">
        <f t="shared" si="4"/>
        <v>13299860</v>
      </c>
    </row>
    <row r="321" spans="1:6" ht="18" hidden="1" x14ac:dyDescent="0.35">
      <c r="A321" s="2" t="s">
        <v>38</v>
      </c>
      <c r="B321" s="2" t="s">
        <v>50</v>
      </c>
      <c r="C321" s="2" t="s">
        <v>61</v>
      </c>
      <c r="D321" s="2">
        <v>121</v>
      </c>
      <c r="E321" s="5">
        <f>IF(C321="", "", IFERROR(VLOOKUP(C321, Price_List!A:D, IF(Dashboard!$B$9="樂觀(Snipe)", 3, IF(Dashboard!$B$9="悲觀(Panic)", 4, 2)), 0), 0))</f>
        <v>188000</v>
      </c>
      <c r="F321" s="5">
        <f t="shared" si="4"/>
        <v>22748000</v>
      </c>
    </row>
    <row r="322" spans="1:6" ht="18" hidden="1" x14ac:dyDescent="0.35">
      <c r="A322" s="2" t="s">
        <v>38</v>
      </c>
      <c r="B322" s="2" t="s">
        <v>50</v>
      </c>
      <c r="C322" s="2" t="s">
        <v>66</v>
      </c>
      <c r="D322" s="2">
        <v>19</v>
      </c>
      <c r="E322" s="5">
        <f>IF(C322="", "", IFERROR(VLOOKUP(C322, Price_List!A:D, IF(Dashboard!$B$9="樂觀(Snipe)", 3, IF(Dashboard!$B$9="悲觀(Panic)", 4, 2)), 0), 0))</f>
        <v>6879998</v>
      </c>
      <c r="F322" s="5">
        <f t="shared" ref="F322:F385" si="5">IF(C322="", "", D322*E322)</f>
        <v>130719962</v>
      </c>
    </row>
    <row r="323" spans="1:6" ht="18" hidden="1" x14ac:dyDescent="0.35">
      <c r="A323" s="2" t="s">
        <v>38</v>
      </c>
      <c r="B323" s="2" t="s">
        <v>50</v>
      </c>
      <c r="C323" s="2" t="s">
        <v>67</v>
      </c>
      <c r="D323" s="2">
        <v>50</v>
      </c>
      <c r="E323" s="5">
        <f>IF(C323="", "", IFERROR(VLOOKUP(C323, Price_List!A:D, IF(Dashboard!$B$9="樂觀(Snipe)", 3, IF(Dashboard!$B$9="悲觀(Panic)", 4, 2)), 0), 0))</f>
        <v>560000</v>
      </c>
      <c r="F323" s="5">
        <f t="shared" si="5"/>
        <v>28000000</v>
      </c>
    </row>
    <row r="324" spans="1:6" ht="18" hidden="1" x14ac:dyDescent="0.35">
      <c r="A324" s="2" t="s">
        <v>38</v>
      </c>
      <c r="B324" s="2" t="s">
        <v>50</v>
      </c>
      <c r="C324" s="6" t="s">
        <v>140</v>
      </c>
      <c r="D324" s="2">
        <v>5</v>
      </c>
      <c r="E324" s="5">
        <f>IF(C324="", "", IFERROR(VLOOKUP(C324, Price_List!A:D, IF(Dashboard!$B$9="樂觀(Snipe)", 3, IF(Dashboard!$B$9="悲觀(Panic)", 4, 2)), 0), 0))</f>
        <v>3300088</v>
      </c>
      <c r="F324" s="5">
        <f t="shared" si="5"/>
        <v>16500440</v>
      </c>
    </row>
    <row r="325" spans="1:6" ht="18" hidden="1" x14ac:dyDescent="0.35">
      <c r="A325" s="2" t="s">
        <v>38</v>
      </c>
      <c r="B325" s="6" t="s">
        <v>139</v>
      </c>
      <c r="C325" s="6" t="s">
        <v>97</v>
      </c>
      <c r="D325" s="2">
        <v>5</v>
      </c>
      <c r="E325" s="5">
        <f>IF(C325="", "", IFERROR(VLOOKUP(C325, Price_List!A:D, IF(Dashboard!$B$9="樂觀(Snipe)", 3, IF(Dashboard!$B$9="悲觀(Panic)", 4, 2)), 0), 0))</f>
        <v>3150000</v>
      </c>
      <c r="F325" s="5">
        <f t="shared" si="5"/>
        <v>15750000</v>
      </c>
    </row>
    <row r="326" spans="1:6" ht="18" hidden="1" x14ac:dyDescent="0.35">
      <c r="A326" s="2" t="s">
        <v>38</v>
      </c>
      <c r="B326" s="6" t="s">
        <v>139</v>
      </c>
      <c r="C326" s="6" t="s">
        <v>105</v>
      </c>
      <c r="D326" s="2">
        <v>50</v>
      </c>
      <c r="E326" s="5">
        <f>IF(C326="", "", IFERROR(VLOOKUP(C326, Price_List!A:D, IF(Dashboard!$B$9="樂觀(Snipe)", 3, IF(Dashboard!$B$9="悲觀(Panic)", 4, 2)), 0), 0))</f>
        <v>560000</v>
      </c>
      <c r="F326" s="5">
        <f t="shared" si="5"/>
        <v>28000000</v>
      </c>
    </row>
    <row r="327" spans="1:6" ht="18" hidden="1" x14ac:dyDescent="0.35">
      <c r="A327" s="2" t="s">
        <v>38</v>
      </c>
      <c r="B327" s="6" t="s">
        <v>139</v>
      </c>
      <c r="C327" s="6" t="s">
        <v>95</v>
      </c>
      <c r="D327" s="2">
        <v>122</v>
      </c>
      <c r="E327" s="5">
        <f>IF(C327="", "", IFERROR(VLOOKUP(C327, Price_List!A:D, IF(Dashboard!$B$9="樂觀(Snipe)", 3, IF(Dashboard!$B$9="悲觀(Panic)", 4, 2)), 0), 0))</f>
        <v>1222222</v>
      </c>
      <c r="F327" s="5">
        <f t="shared" si="5"/>
        <v>149111084</v>
      </c>
    </row>
    <row r="328" spans="1:6" ht="18" hidden="1" x14ac:dyDescent="0.35">
      <c r="A328" s="2" t="s">
        <v>38</v>
      </c>
      <c r="B328" s="6" t="s">
        <v>139</v>
      </c>
      <c r="C328" s="6" t="s">
        <v>106</v>
      </c>
      <c r="D328" s="2">
        <v>18</v>
      </c>
      <c r="E328" s="5">
        <f>IF(C328="", "", IFERROR(VLOOKUP(C328, Price_List!A:D, IF(Dashboard!$B$9="樂觀(Snipe)", 3, IF(Dashboard!$B$9="悲觀(Panic)", 4, 2)), 0), 0))</f>
        <v>2199999</v>
      </c>
      <c r="F328" s="5">
        <f t="shared" si="5"/>
        <v>39599982</v>
      </c>
    </row>
    <row r="329" spans="1:6" ht="18" hidden="1" x14ac:dyDescent="0.35">
      <c r="A329" s="2" t="s">
        <v>38</v>
      </c>
      <c r="B329" s="6" t="s">
        <v>139</v>
      </c>
      <c r="C329" s="6" t="s">
        <v>122</v>
      </c>
      <c r="D329" s="2">
        <v>27</v>
      </c>
      <c r="E329" s="5">
        <f>IF(C329="", "", IFERROR(VLOOKUP(C329, Price_List!A:D, IF(Dashboard!$B$9="樂觀(Snipe)", 3, IF(Dashboard!$B$9="悲觀(Panic)", 4, 2)), 0), 0))</f>
        <v>1650000</v>
      </c>
      <c r="F329" s="5">
        <f t="shared" si="5"/>
        <v>44550000</v>
      </c>
    </row>
    <row r="330" spans="1:6" ht="18" hidden="1" x14ac:dyDescent="0.35">
      <c r="A330" s="2" t="s">
        <v>38</v>
      </c>
      <c r="B330" s="6" t="s">
        <v>139</v>
      </c>
      <c r="C330" s="6" t="s">
        <v>124</v>
      </c>
      <c r="D330" s="2">
        <v>42</v>
      </c>
      <c r="E330" s="5">
        <f>IF(C330="", "", IFERROR(VLOOKUP(C330, Price_List!A:D, IF(Dashboard!$B$9="樂觀(Snipe)", 3, IF(Dashboard!$B$9="悲觀(Panic)", 4, 2)), 0), 0))</f>
        <v>899999</v>
      </c>
      <c r="F330" s="5">
        <f t="shared" si="5"/>
        <v>37799958</v>
      </c>
    </row>
    <row r="331" spans="1:6" ht="18" hidden="1" x14ac:dyDescent="0.35">
      <c r="A331" s="2" t="s">
        <v>38</v>
      </c>
      <c r="B331" s="6" t="s">
        <v>139</v>
      </c>
      <c r="C331" s="6" t="s">
        <v>125</v>
      </c>
      <c r="D331" s="2">
        <v>19</v>
      </c>
      <c r="E331" s="5">
        <f>IF(C331="", "", IFERROR(VLOOKUP(C331, Price_List!A:D, IF(Dashboard!$B$9="樂觀(Snipe)", 3, IF(Dashboard!$B$9="悲觀(Panic)", 4, 2)), 0), 0))</f>
        <v>6879998</v>
      </c>
      <c r="F331" s="5">
        <f t="shared" si="5"/>
        <v>130719962</v>
      </c>
    </row>
    <row r="332" spans="1:6" ht="18" hidden="1" x14ac:dyDescent="0.35">
      <c r="A332" s="2" t="s">
        <v>38</v>
      </c>
      <c r="B332" s="6" t="s">
        <v>139</v>
      </c>
      <c r="C332" s="6" t="s">
        <v>144</v>
      </c>
      <c r="D332" s="2">
        <v>121</v>
      </c>
      <c r="E332" s="5">
        <f>IF(C332="", "", IFERROR(VLOOKUP(C332, Price_List!A:D, IF(Dashboard!$B$9="樂觀(Snipe)", 3, IF(Dashboard!$B$9="悲觀(Panic)", 4, 2)), 0), 0))</f>
        <v>188000</v>
      </c>
      <c r="F332" s="5">
        <f t="shared" si="5"/>
        <v>22748000</v>
      </c>
    </row>
    <row r="333" spans="1:6" ht="18" hidden="1" x14ac:dyDescent="0.35">
      <c r="A333" s="2" t="s">
        <v>38</v>
      </c>
      <c r="B333" s="6" t="s">
        <v>139</v>
      </c>
      <c r="C333" s="6" t="s">
        <v>108</v>
      </c>
      <c r="D333" s="2">
        <v>70</v>
      </c>
      <c r="E333" s="5">
        <f>IF(C333="", "", IFERROR(VLOOKUP(C333, Price_List!A:D, IF(Dashboard!$B$9="樂觀(Snipe)", 3, IF(Dashboard!$B$9="悲觀(Panic)", 4, 2)), 0), 0))</f>
        <v>189998</v>
      </c>
      <c r="F333" s="5">
        <f t="shared" si="5"/>
        <v>13299860</v>
      </c>
    </row>
    <row r="334" spans="1:6" ht="18" hidden="1" x14ac:dyDescent="0.35">
      <c r="A334" s="6" t="s">
        <v>123</v>
      </c>
      <c r="B334" s="6" t="s">
        <v>145</v>
      </c>
      <c r="C334" s="6" t="s">
        <v>146</v>
      </c>
      <c r="D334" s="2">
        <v>5</v>
      </c>
      <c r="E334" s="5">
        <f>IF(C334="", "", IFERROR(VLOOKUP(C334, Price_List!A:D, IF(Dashboard!$B$9="樂觀(Snipe)", 3, IF(Dashboard!$B$9="悲觀(Panic)", 4, 2)), 0), 0))</f>
        <v>2749000</v>
      </c>
      <c r="F334" s="5">
        <f t="shared" si="5"/>
        <v>13745000</v>
      </c>
    </row>
    <row r="335" spans="1:6" ht="18" hidden="1" x14ac:dyDescent="0.35">
      <c r="A335" s="6" t="s">
        <v>123</v>
      </c>
      <c r="B335" s="6" t="s">
        <v>145</v>
      </c>
      <c r="C335" s="6" t="s">
        <v>105</v>
      </c>
      <c r="D335" s="2">
        <v>31</v>
      </c>
      <c r="E335" s="5">
        <f>IF(C335="", "", IFERROR(VLOOKUP(C335, Price_List!A:D, IF(Dashboard!$B$9="樂觀(Snipe)", 3, IF(Dashboard!$B$9="悲觀(Panic)", 4, 2)), 0), 0))</f>
        <v>560000</v>
      </c>
      <c r="F335" s="5">
        <f t="shared" si="5"/>
        <v>17360000</v>
      </c>
    </row>
    <row r="336" spans="1:6" ht="18" hidden="1" x14ac:dyDescent="0.35">
      <c r="A336" s="6" t="s">
        <v>123</v>
      </c>
      <c r="B336" s="6" t="s">
        <v>145</v>
      </c>
      <c r="C336" s="6" t="s">
        <v>95</v>
      </c>
      <c r="D336" s="2">
        <v>76</v>
      </c>
      <c r="E336" s="5">
        <f>IF(C336="", "", IFERROR(VLOOKUP(C336, Price_List!A:D, IF(Dashboard!$B$9="樂觀(Snipe)", 3, IF(Dashboard!$B$9="悲觀(Panic)", 4, 2)), 0), 0))</f>
        <v>1222222</v>
      </c>
      <c r="F336" s="5">
        <f t="shared" si="5"/>
        <v>92888872</v>
      </c>
    </row>
    <row r="337" spans="1:6" ht="18" hidden="1" x14ac:dyDescent="0.35">
      <c r="A337" s="6" t="s">
        <v>123</v>
      </c>
      <c r="B337" s="6" t="s">
        <v>145</v>
      </c>
      <c r="C337" s="6" t="s">
        <v>106</v>
      </c>
      <c r="D337" s="2">
        <v>11</v>
      </c>
      <c r="E337" s="5">
        <f>IF(C337="", "", IFERROR(VLOOKUP(C337, Price_List!A:D, IF(Dashboard!$B$9="樂觀(Snipe)", 3, IF(Dashboard!$B$9="悲觀(Panic)", 4, 2)), 0), 0))</f>
        <v>2199999</v>
      </c>
      <c r="F337" s="5">
        <f t="shared" si="5"/>
        <v>24199989</v>
      </c>
    </row>
    <row r="338" spans="1:6" ht="18" hidden="1" x14ac:dyDescent="0.35">
      <c r="A338" s="6" t="s">
        <v>123</v>
      </c>
      <c r="B338" s="6" t="s">
        <v>145</v>
      </c>
      <c r="C338" s="6" t="s">
        <v>122</v>
      </c>
      <c r="D338" s="2">
        <v>18</v>
      </c>
      <c r="E338" s="5">
        <f>IF(C338="", "", IFERROR(VLOOKUP(C338, Price_List!A:D, IF(Dashboard!$B$9="樂觀(Snipe)", 3, IF(Dashboard!$B$9="悲觀(Panic)", 4, 2)), 0), 0))</f>
        <v>1650000</v>
      </c>
      <c r="F338" s="5">
        <f t="shared" si="5"/>
        <v>29700000</v>
      </c>
    </row>
    <row r="339" spans="1:6" ht="18" hidden="1" x14ac:dyDescent="0.35">
      <c r="A339" s="6" t="s">
        <v>123</v>
      </c>
      <c r="B339" s="6" t="s">
        <v>145</v>
      </c>
      <c r="C339" s="6" t="s">
        <v>124</v>
      </c>
      <c r="D339" s="2">
        <v>26</v>
      </c>
      <c r="E339" s="5">
        <f>IF(C339="", "", IFERROR(VLOOKUP(C339, Price_List!A:D, IF(Dashboard!$B$9="樂觀(Snipe)", 3, IF(Dashboard!$B$9="悲觀(Panic)", 4, 2)), 0), 0))</f>
        <v>899999</v>
      </c>
      <c r="F339" s="5">
        <f t="shared" si="5"/>
        <v>23399974</v>
      </c>
    </row>
    <row r="340" spans="1:6" ht="18" hidden="1" x14ac:dyDescent="0.35">
      <c r="A340" s="6" t="s">
        <v>123</v>
      </c>
      <c r="B340" s="6" t="s">
        <v>145</v>
      </c>
      <c r="C340" s="6" t="s">
        <v>125</v>
      </c>
      <c r="D340" s="2">
        <v>13</v>
      </c>
      <c r="E340" s="5">
        <f>IF(C340="", "", IFERROR(VLOOKUP(C340, Price_List!A:D, IF(Dashboard!$B$9="樂觀(Snipe)", 3, IF(Dashboard!$B$9="悲觀(Panic)", 4, 2)), 0), 0))</f>
        <v>6879998</v>
      </c>
      <c r="F340" s="5">
        <f t="shared" si="5"/>
        <v>89439974</v>
      </c>
    </row>
    <row r="341" spans="1:6" ht="18" hidden="1" x14ac:dyDescent="0.35">
      <c r="A341" s="6" t="s">
        <v>123</v>
      </c>
      <c r="B341" s="6" t="s">
        <v>145</v>
      </c>
      <c r="C341" s="6" t="s">
        <v>147</v>
      </c>
      <c r="D341" s="2">
        <v>76</v>
      </c>
      <c r="E341" s="5">
        <f>IF(C341="", "", IFERROR(VLOOKUP(C341, Price_List!A:D, IF(Dashboard!$B$9="樂觀(Snipe)", 3, IF(Dashboard!$B$9="悲觀(Panic)", 4, 2)), 0), 0))</f>
        <v>195497</v>
      </c>
      <c r="F341" s="5">
        <f t="shared" si="5"/>
        <v>14857772</v>
      </c>
    </row>
    <row r="342" spans="1:6" ht="18" hidden="1" x14ac:dyDescent="0.35">
      <c r="A342" s="6" t="s">
        <v>123</v>
      </c>
      <c r="B342" s="6" t="s">
        <v>145</v>
      </c>
      <c r="C342" s="6" t="s">
        <v>108</v>
      </c>
      <c r="D342" s="2">
        <v>44</v>
      </c>
      <c r="E342" s="5">
        <f>IF(C342="", "", IFERROR(VLOOKUP(C342, Price_List!A:D, IF(Dashboard!$B$9="樂觀(Snipe)", 3, IF(Dashboard!$B$9="悲觀(Panic)", 4, 2)), 0), 0))</f>
        <v>189998</v>
      </c>
      <c r="F342" s="5">
        <f t="shared" si="5"/>
        <v>8359912</v>
      </c>
    </row>
    <row r="343" spans="1:6" ht="18" hidden="1" x14ac:dyDescent="0.35">
      <c r="A343" s="6" t="s">
        <v>123</v>
      </c>
      <c r="B343" s="6" t="s">
        <v>148</v>
      </c>
      <c r="C343" s="6" t="s">
        <v>149</v>
      </c>
      <c r="D343" s="2">
        <v>5</v>
      </c>
      <c r="E343" s="5">
        <f>IF(C343="", "", IFERROR(VLOOKUP(C343, Price_List!A:D, IF(Dashboard!$B$9="樂觀(Snipe)", 3, IF(Dashboard!$B$9="悲觀(Panic)", 4, 2)), 0), 0))</f>
        <v>2350000</v>
      </c>
      <c r="F343" s="5">
        <f t="shared" si="5"/>
        <v>11750000</v>
      </c>
    </row>
    <row r="344" spans="1:6" ht="18" hidden="1" x14ac:dyDescent="0.35">
      <c r="A344" s="6" t="s">
        <v>123</v>
      </c>
      <c r="B344" s="6" t="s">
        <v>148</v>
      </c>
      <c r="C344" s="6" t="s">
        <v>105</v>
      </c>
      <c r="D344" s="2">
        <v>25</v>
      </c>
      <c r="E344" s="5">
        <f>IF(C344="", "", IFERROR(VLOOKUP(C344, Price_List!A:D, IF(Dashboard!$B$9="樂觀(Snipe)", 3, IF(Dashboard!$B$9="悲觀(Panic)", 4, 2)), 0), 0))</f>
        <v>560000</v>
      </c>
      <c r="F344" s="5">
        <f t="shared" si="5"/>
        <v>14000000</v>
      </c>
    </row>
    <row r="345" spans="1:6" ht="18" hidden="1" x14ac:dyDescent="0.35">
      <c r="A345" s="6" t="s">
        <v>123</v>
      </c>
      <c r="B345" s="6" t="s">
        <v>148</v>
      </c>
      <c r="C345" s="6" t="s">
        <v>95</v>
      </c>
      <c r="D345" s="2">
        <v>61</v>
      </c>
      <c r="E345" s="5">
        <f>IF(C345="", "", IFERROR(VLOOKUP(C345, Price_List!A:D, IF(Dashboard!$B$9="樂觀(Snipe)", 3, IF(Dashboard!$B$9="悲觀(Panic)", 4, 2)), 0), 0))</f>
        <v>1222222</v>
      </c>
      <c r="F345" s="5">
        <f t="shared" si="5"/>
        <v>74555542</v>
      </c>
    </row>
    <row r="346" spans="1:6" ht="18" hidden="1" x14ac:dyDescent="0.35">
      <c r="A346" s="6" t="s">
        <v>123</v>
      </c>
      <c r="B346" s="6" t="s">
        <v>148</v>
      </c>
      <c r="C346" s="6" t="s">
        <v>106</v>
      </c>
      <c r="D346" s="2">
        <v>9</v>
      </c>
      <c r="E346" s="5">
        <f>IF(C346="", "", IFERROR(VLOOKUP(C346, Price_List!A:D, IF(Dashboard!$B$9="樂觀(Snipe)", 3, IF(Dashboard!$B$9="悲觀(Panic)", 4, 2)), 0), 0))</f>
        <v>2199999</v>
      </c>
      <c r="F346" s="5">
        <f t="shared" si="5"/>
        <v>19799991</v>
      </c>
    </row>
    <row r="347" spans="1:6" ht="18" hidden="1" x14ac:dyDescent="0.35">
      <c r="A347" s="6" t="s">
        <v>123</v>
      </c>
      <c r="B347" s="6" t="s">
        <v>148</v>
      </c>
      <c r="C347" s="6" t="s">
        <v>122</v>
      </c>
      <c r="D347" s="2">
        <v>14</v>
      </c>
      <c r="E347" s="5">
        <f>IF(C347="", "", IFERROR(VLOOKUP(C347, Price_List!A:D, IF(Dashboard!$B$9="樂觀(Snipe)", 3, IF(Dashboard!$B$9="悲觀(Panic)", 4, 2)), 0), 0))</f>
        <v>1650000</v>
      </c>
      <c r="F347" s="5">
        <f t="shared" si="5"/>
        <v>23100000</v>
      </c>
    </row>
    <row r="348" spans="1:6" ht="18" hidden="1" x14ac:dyDescent="0.35">
      <c r="A348" s="6" t="s">
        <v>123</v>
      </c>
      <c r="B348" s="6" t="s">
        <v>148</v>
      </c>
      <c r="C348" s="6" t="s">
        <v>124</v>
      </c>
      <c r="D348" s="2">
        <v>21</v>
      </c>
      <c r="E348" s="5">
        <f>IF(C348="", "", IFERROR(VLOOKUP(C348, Price_List!A:D, IF(Dashboard!$B$9="樂觀(Snipe)", 3, IF(Dashboard!$B$9="悲觀(Panic)", 4, 2)), 0), 0))</f>
        <v>899999</v>
      </c>
      <c r="F348" s="5">
        <f t="shared" si="5"/>
        <v>18899979</v>
      </c>
    </row>
    <row r="349" spans="1:6" ht="18" hidden="1" x14ac:dyDescent="0.35">
      <c r="A349" s="6" t="s">
        <v>123</v>
      </c>
      <c r="B349" s="6" t="s">
        <v>148</v>
      </c>
      <c r="C349" s="6" t="s">
        <v>125</v>
      </c>
      <c r="D349" s="2">
        <v>10</v>
      </c>
      <c r="E349" s="5">
        <f>IF(C349="", "", IFERROR(VLOOKUP(C349, Price_List!A:D, IF(Dashboard!$B$9="樂觀(Snipe)", 3, IF(Dashboard!$B$9="悲觀(Panic)", 4, 2)), 0), 0))</f>
        <v>6879998</v>
      </c>
      <c r="F349" s="5">
        <f t="shared" si="5"/>
        <v>68799980</v>
      </c>
    </row>
    <row r="350" spans="1:6" ht="18" hidden="1" x14ac:dyDescent="0.35">
      <c r="A350" s="6" t="s">
        <v>123</v>
      </c>
      <c r="B350" s="6" t="s">
        <v>148</v>
      </c>
      <c r="C350" s="6" t="s">
        <v>150</v>
      </c>
      <c r="D350" s="2">
        <v>61</v>
      </c>
      <c r="E350" s="5">
        <f>IF(C350="", "", IFERROR(VLOOKUP(C350, Price_List!A:D, IF(Dashboard!$B$9="樂觀(Snipe)", 3, IF(Dashboard!$B$9="悲觀(Panic)", 4, 2)), 0), 0))</f>
        <v>204890</v>
      </c>
      <c r="F350" s="5">
        <f t="shared" si="5"/>
        <v>12498290</v>
      </c>
    </row>
    <row r="351" spans="1:6" ht="18" hidden="1" x14ac:dyDescent="0.35">
      <c r="A351" s="6" t="s">
        <v>123</v>
      </c>
      <c r="B351" s="6" t="s">
        <v>148</v>
      </c>
      <c r="C351" s="6" t="s">
        <v>108</v>
      </c>
      <c r="D351" s="2">
        <v>35</v>
      </c>
      <c r="E351" s="5">
        <f>IF(C351="", "", IFERROR(VLOOKUP(C351, Price_List!A:D, IF(Dashboard!$B$9="樂觀(Snipe)", 3, IF(Dashboard!$B$9="悲觀(Panic)", 4, 2)), 0), 0))</f>
        <v>189998</v>
      </c>
      <c r="F351" s="5">
        <f t="shared" si="5"/>
        <v>6649930</v>
      </c>
    </row>
    <row r="352" spans="1:6" ht="18" hidden="1" x14ac:dyDescent="0.35">
      <c r="A352" s="6" t="s">
        <v>123</v>
      </c>
      <c r="B352" s="6" t="s">
        <v>151</v>
      </c>
      <c r="C352" s="6" t="s">
        <v>152</v>
      </c>
      <c r="D352" s="2">
        <v>5</v>
      </c>
      <c r="E352" s="5">
        <f>IF(C352="", "", IFERROR(VLOOKUP(C352, Price_List!A:D, IF(Dashboard!$B$9="樂觀(Snipe)", 3, IF(Dashboard!$B$9="悲觀(Panic)", 4, 2)), 0), 0))</f>
        <v>2118888</v>
      </c>
      <c r="F352" s="5">
        <f t="shared" si="5"/>
        <v>10594440</v>
      </c>
    </row>
    <row r="353" spans="1:6" ht="18" hidden="1" x14ac:dyDescent="0.35">
      <c r="A353" s="6" t="s">
        <v>123</v>
      </c>
      <c r="B353" s="6" t="s">
        <v>151</v>
      </c>
      <c r="C353" s="6" t="s">
        <v>105</v>
      </c>
      <c r="D353" s="2">
        <v>19</v>
      </c>
      <c r="E353" s="5">
        <f>IF(C353="", "", IFERROR(VLOOKUP(C353, Price_List!A:D, IF(Dashboard!$B$9="樂觀(Snipe)", 3, IF(Dashboard!$B$9="悲觀(Panic)", 4, 2)), 0), 0))</f>
        <v>560000</v>
      </c>
      <c r="F353" s="5">
        <f t="shared" si="5"/>
        <v>10640000</v>
      </c>
    </row>
    <row r="354" spans="1:6" ht="18" hidden="1" x14ac:dyDescent="0.35">
      <c r="A354" s="6" t="s">
        <v>123</v>
      </c>
      <c r="B354" s="6" t="s">
        <v>151</v>
      </c>
      <c r="C354" s="6" t="s">
        <v>95</v>
      </c>
      <c r="D354" s="2">
        <v>46</v>
      </c>
      <c r="E354" s="5">
        <f>IF(C354="", "", IFERROR(VLOOKUP(C354, Price_List!A:D, IF(Dashboard!$B$9="樂觀(Snipe)", 3, IF(Dashboard!$B$9="悲觀(Panic)", 4, 2)), 0), 0))</f>
        <v>1222222</v>
      </c>
      <c r="F354" s="5">
        <f t="shared" si="5"/>
        <v>56222212</v>
      </c>
    </row>
    <row r="355" spans="1:6" ht="18" hidden="1" x14ac:dyDescent="0.35">
      <c r="A355" s="6" t="s">
        <v>123</v>
      </c>
      <c r="B355" s="6" t="s">
        <v>151</v>
      </c>
      <c r="C355" s="6" t="s">
        <v>106</v>
      </c>
      <c r="D355" s="2">
        <v>7</v>
      </c>
      <c r="E355" s="5">
        <f>IF(C355="", "", IFERROR(VLOOKUP(C355, Price_List!A:D, IF(Dashboard!$B$9="樂觀(Snipe)", 3, IF(Dashboard!$B$9="悲觀(Panic)", 4, 2)), 0), 0))</f>
        <v>2199999</v>
      </c>
      <c r="F355" s="5">
        <f t="shared" si="5"/>
        <v>15399993</v>
      </c>
    </row>
    <row r="356" spans="1:6" ht="18" hidden="1" x14ac:dyDescent="0.35">
      <c r="A356" s="6" t="s">
        <v>123</v>
      </c>
      <c r="B356" s="6" t="s">
        <v>151</v>
      </c>
      <c r="C356" s="6" t="s">
        <v>122</v>
      </c>
      <c r="D356" s="2">
        <v>11</v>
      </c>
      <c r="E356" s="5">
        <f>IF(C356="", "", IFERROR(VLOOKUP(C356, Price_List!A:D, IF(Dashboard!$B$9="樂觀(Snipe)", 3, IF(Dashboard!$B$9="悲觀(Panic)", 4, 2)), 0), 0))</f>
        <v>1650000</v>
      </c>
      <c r="F356" s="5">
        <f t="shared" si="5"/>
        <v>18150000</v>
      </c>
    </row>
    <row r="357" spans="1:6" ht="18" hidden="1" x14ac:dyDescent="0.35">
      <c r="A357" s="6" t="s">
        <v>123</v>
      </c>
      <c r="B357" s="6" t="s">
        <v>151</v>
      </c>
      <c r="C357" s="6" t="s">
        <v>124</v>
      </c>
      <c r="D357" s="2">
        <v>16</v>
      </c>
      <c r="E357" s="5">
        <f>IF(C357="", "", IFERROR(VLOOKUP(C357, Price_List!A:D, IF(Dashboard!$B$9="樂觀(Snipe)", 3, IF(Dashboard!$B$9="悲觀(Panic)", 4, 2)), 0), 0))</f>
        <v>899999</v>
      </c>
      <c r="F357" s="5">
        <f t="shared" si="5"/>
        <v>14399984</v>
      </c>
    </row>
    <row r="358" spans="1:6" ht="18" hidden="1" x14ac:dyDescent="0.35">
      <c r="A358" s="6" t="s">
        <v>123</v>
      </c>
      <c r="B358" s="6" t="s">
        <v>151</v>
      </c>
      <c r="C358" s="6" t="s">
        <v>125</v>
      </c>
      <c r="D358" s="2">
        <v>8</v>
      </c>
      <c r="E358" s="5">
        <f>IF(C358="", "", IFERROR(VLOOKUP(C358, Price_List!A:D, IF(Dashboard!$B$9="樂觀(Snipe)", 3, IF(Dashboard!$B$9="悲觀(Panic)", 4, 2)), 0), 0))</f>
        <v>6879998</v>
      </c>
      <c r="F358" s="5">
        <f t="shared" si="5"/>
        <v>55039984</v>
      </c>
    </row>
    <row r="359" spans="1:6" ht="18" hidden="1" x14ac:dyDescent="0.35">
      <c r="A359" s="6" t="s">
        <v>123</v>
      </c>
      <c r="B359" s="6" t="s">
        <v>151</v>
      </c>
      <c r="C359" s="6" t="s">
        <v>153</v>
      </c>
      <c r="D359" s="2">
        <v>46</v>
      </c>
      <c r="E359" s="5">
        <f>IF(C359="", "", IFERROR(VLOOKUP(C359, Price_List!A:D, IF(Dashboard!$B$9="樂觀(Snipe)", 3, IF(Dashboard!$B$9="悲觀(Panic)", 4, 2)), 0), 0))</f>
        <v>208996</v>
      </c>
      <c r="F359" s="5">
        <f t="shared" si="5"/>
        <v>9613816</v>
      </c>
    </row>
    <row r="360" spans="1:6" ht="18" hidden="1" x14ac:dyDescent="0.35">
      <c r="A360" s="6" t="s">
        <v>123</v>
      </c>
      <c r="B360" s="6" t="s">
        <v>151</v>
      </c>
      <c r="C360" s="6" t="s">
        <v>108</v>
      </c>
      <c r="D360" s="2">
        <v>26</v>
      </c>
      <c r="E360" s="5">
        <f>IF(C360="", "", IFERROR(VLOOKUP(C360, Price_List!A:D, IF(Dashboard!$B$9="樂觀(Snipe)", 3, IF(Dashboard!$B$9="悲觀(Panic)", 4, 2)), 0), 0))</f>
        <v>189998</v>
      </c>
      <c r="F360" s="5">
        <f t="shared" si="5"/>
        <v>4939948</v>
      </c>
    </row>
    <row r="361" spans="1:6" ht="18" hidden="1" x14ac:dyDescent="0.35">
      <c r="A361" s="6" t="s">
        <v>123</v>
      </c>
      <c r="B361" s="6" t="s">
        <v>154</v>
      </c>
      <c r="C361" s="6" t="s">
        <v>101</v>
      </c>
      <c r="D361" s="2">
        <v>5</v>
      </c>
      <c r="E361" s="5">
        <f>IF(C361="", "", IFERROR(VLOOKUP(C361, Price_List!A:D, IF(Dashboard!$B$9="樂觀(Snipe)", 3, IF(Dashboard!$B$9="悲觀(Panic)", 4, 2)), 0), 0))</f>
        <v>2900000</v>
      </c>
      <c r="F361" s="5">
        <f t="shared" si="5"/>
        <v>14500000</v>
      </c>
    </row>
    <row r="362" spans="1:6" ht="18" hidden="1" x14ac:dyDescent="0.35">
      <c r="A362" s="6" t="s">
        <v>123</v>
      </c>
      <c r="B362" s="6" t="s">
        <v>154</v>
      </c>
      <c r="C362" s="6" t="s">
        <v>105</v>
      </c>
      <c r="D362" s="2">
        <v>50</v>
      </c>
      <c r="E362" s="5">
        <f>IF(C362="", "", IFERROR(VLOOKUP(C362, Price_List!A:D, IF(Dashboard!$B$9="樂觀(Snipe)", 3, IF(Dashboard!$B$9="悲觀(Panic)", 4, 2)), 0), 0))</f>
        <v>560000</v>
      </c>
      <c r="F362" s="5">
        <f t="shared" si="5"/>
        <v>28000000</v>
      </c>
    </row>
    <row r="363" spans="1:6" ht="18" hidden="1" x14ac:dyDescent="0.35">
      <c r="A363" s="6" t="s">
        <v>123</v>
      </c>
      <c r="B363" s="6" t="s">
        <v>154</v>
      </c>
      <c r="C363" s="6" t="s">
        <v>95</v>
      </c>
      <c r="D363" s="2">
        <v>122</v>
      </c>
      <c r="E363" s="5">
        <f>IF(C363="", "", IFERROR(VLOOKUP(C363, Price_List!A:D, IF(Dashboard!$B$9="樂觀(Snipe)", 3, IF(Dashboard!$B$9="悲觀(Panic)", 4, 2)), 0), 0))</f>
        <v>1222222</v>
      </c>
      <c r="F363" s="5">
        <f t="shared" si="5"/>
        <v>149111084</v>
      </c>
    </row>
    <row r="364" spans="1:6" ht="18" hidden="1" x14ac:dyDescent="0.35">
      <c r="A364" s="6" t="s">
        <v>123</v>
      </c>
      <c r="B364" s="6" t="s">
        <v>154</v>
      </c>
      <c r="C364" s="6" t="s">
        <v>106</v>
      </c>
      <c r="D364" s="2">
        <v>18</v>
      </c>
      <c r="E364" s="5">
        <f>IF(C364="", "", IFERROR(VLOOKUP(C364, Price_List!A:D, IF(Dashboard!$B$9="樂觀(Snipe)", 3, IF(Dashboard!$B$9="悲觀(Panic)", 4, 2)), 0), 0))</f>
        <v>2199999</v>
      </c>
      <c r="F364" s="5">
        <f t="shared" si="5"/>
        <v>39599982</v>
      </c>
    </row>
    <row r="365" spans="1:6" ht="18" hidden="1" x14ac:dyDescent="0.35">
      <c r="A365" s="6" t="s">
        <v>123</v>
      </c>
      <c r="B365" s="6" t="s">
        <v>154</v>
      </c>
      <c r="C365" s="6" t="s">
        <v>122</v>
      </c>
      <c r="D365" s="2">
        <v>27</v>
      </c>
      <c r="E365" s="5">
        <f>IF(C365="", "", IFERROR(VLOOKUP(C365, Price_List!A:D, IF(Dashboard!$B$9="樂觀(Snipe)", 3, IF(Dashboard!$B$9="悲觀(Panic)", 4, 2)), 0), 0))</f>
        <v>1650000</v>
      </c>
      <c r="F365" s="5">
        <f t="shared" si="5"/>
        <v>44550000</v>
      </c>
    </row>
    <row r="366" spans="1:6" ht="18" hidden="1" x14ac:dyDescent="0.35">
      <c r="A366" s="6" t="s">
        <v>123</v>
      </c>
      <c r="B366" s="6" t="s">
        <v>154</v>
      </c>
      <c r="C366" s="6" t="s">
        <v>124</v>
      </c>
      <c r="D366" s="2">
        <v>42</v>
      </c>
      <c r="E366" s="5">
        <f>IF(C366="", "", IFERROR(VLOOKUP(C366, Price_List!A:D, IF(Dashboard!$B$9="樂觀(Snipe)", 3, IF(Dashboard!$B$9="悲觀(Panic)", 4, 2)), 0), 0))</f>
        <v>899999</v>
      </c>
      <c r="F366" s="5">
        <f t="shared" si="5"/>
        <v>37799958</v>
      </c>
    </row>
    <row r="367" spans="1:6" ht="18" hidden="1" x14ac:dyDescent="0.35">
      <c r="A367" s="6" t="s">
        <v>123</v>
      </c>
      <c r="B367" s="6" t="s">
        <v>154</v>
      </c>
      <c r="C367" s="6" t="s">
        <v>125</v>
      </c>
      <c r="D367" s="2">
        <v>19</v>
      </c>
      <c r="E367" s="5">
        <f>IF(C367="", "", IFERROR(VLOOKUP(C367, Price_List!A:D, IF(Dashboard!$B$9="樂觀(Snipe)", 3, IF(Dashboard!$B$9="悲觀(Panic)", 4, 2)), 0), 0))</f>
        <v>6879998</v>
      </c>
      <c r="F367" s="5">
        <f t="shared" si="5"/>
        <v>130719962</v>
      </c>
    </row>
    <row r="368" spans="1:6" ht="18" hidden="1" x14ac:dyDescent="0.35">
      <c r="A368" s="6" t="s">
        <v>123</v>
      </c>
      <c r="B368" s="6" t="s">
        <v>154</v>
      </c>
      <c r="C368" s="6" t="s">
        <v>147</v>
      </c>
      <c r="D368" s="2">
        <v>121</v>
      </c>
      <c r="E368" s="5">
        <f>IF(C368="", "", IFERROR(VLOOKUP(C368, Price_List!A:D, IF(Dashboard!$B$9="樂觀(Snipe)", 3, IF(Dashboard!$B$9="悲觀(Panic)", 4, 2)), 0), 0))</f>
        <v>195497</v>
      </c>
      <c r="F368" s="5">
        <f t="shared" si="5"/>
        <v>23655137</v>
      </c>
    </row>
    <row r="369" spans="1:6" ht="18" hidden="1" x14ac:dyDescent="0.35">
      <c r="A369" s="6" t="s">
        <v>123</v>
      </c>
      <c r="B369" s="6" t="s">
        <v>154</v>
      </c>
      <c r="C369" s="6" t="s">
        <v>108</v>
      </c>
      <c r="D369" s="2">
        <v>70</v>
      </c>
      <c r="E369" s="5">
        <f>IF(C369="", "", IFERROR(VLOOKUP(C369, Price_List!A:D, IF(Dashboard!$B$9="樂觀(Snipe)", 3, IF(Dashboard!$B$9="悲觀(Panic)", 4, 2)), 0), 0))</f>
        <v>189998</v>
      </c>
      <c r="F369" s="5">
        <f t="shared" si="5"/>
        <v>13299860</v>
      </c>
    </row>
    <row r="370" spans="1:6" ht="18" hidden="1" x14ac:dyDescent="0.35">
      <c r="A370" s="6" t="s">
        <v>123</v>
      </c>
      <c r="B370" s="6" t="s">
        <v>155</v>
      </c>
      <c r="C370" s="6" t="s">
        <v>102</v>
      </c>
      <c r="D370" s="2">
        <v>5</v>
      </c>
      <c r="E370" s="5">
        <f>IF(C370="", "", IFERROR(VLOOKUP(C370, Price_List!A:D, IF(Dashboard!$B$9="樂觀(Snipe)", 3, IF(Dashboard!$B$9="悲觀(Panic)", 4, 2)), 0), 0))</f>
        <v>2999990</v>
      </c>
      <c r="F370" s="5">
        <f t="shared" si="5"/>
        <v>14999950</v>
      </c>
    </row>
    <row r="371" spans="1:6" ht="18" hidden="1" x14ac:dyDescent="0.35">
      <c r="A371" s="6" t="s">
        <v>123</v>
      </c>
      <c r="B371" s="6" t="s">
        <v>155</v>
      </c>
      <c r="C371" s="6" t="s">
        <v>105</v>
      </c>
      <c r="D371" s="2">
        <v>50</v>
      </c>
      <c r="E371" s="5">
        <f>IF(C371="", "", IFERROR(VLOOKUP(C371, Price_List!A:D, IF(Dashboard!$B$9="樂觀(Snipe)", 3, IF(Dashboard!$B$9="悲觀(Panic)", 4, 2)), 0), 0))</f>
        <v>560000</v>
      </c>
      <c r="F371" s="5">
        <f t="shared" si="5"/>
        <v>28000000</v>
      </c>
    </row>
    <row r="372" spans="1:6" ht="18" hidden="1" x14ac:dyDescent="0.35">
      <c r="A372" s="6" t="s">
        <v>123</v>
      </c>
      <c r="B372" s="6" t="s">
        <v>155</v>
      </c>
      <c r="C372" s="6" t="s">
        <v>95</v>
      </c>
      <c r="D372" s="2">
        <v>122</v>
      </c>
      <c r="E372" s="5">
        <f>IF(C372="", "", IFERROR(VLOOKUP(C372, Price_List!A:D, IF(Dashboard!$B$9="樂觀(Snipe)", 3, IF(Dashboard!$B$9="悲觀(Panic)", 4, 2)), 0), 0))</f>
        <v>1222222</v>
      </c>
      <c r="F372" s="5">
        <f t="shared" si="5"/>
        <v>149111084</v>
      </c>
    </row>
    <row r="373" spans="1:6" ht="18" hidden="1" x14ac:dyDescent="0.35">
      <c r="A373" s="6" t="s">
        <v>123</v>
      </c>
      <c r="B373" s="6" t="s">
        <v>155</v>
      </c>
      <c r="C373" s="6" t="s">
        <v>106</v>
      </c>
      <c r="D373" s="2">
        <v>18</v>
      </c>
      <c r="E373" s="5">
        <f>IF(C373="", "", IFERROR(VLOOKUP(C373, Price_List!A:D, IF(Dashboard!$B$9="樂觀(Snipe)", 3, IF(Dashboard!$B$9="悲觀(Panic)", 4, 2)), 0), 0))</f>
        <v>2199999</v>
      </c>
      <c r="F373" s="5">
        <f t="shared" si="5"/>
        <v>39599982</v>
      </c>
    </row>
    <row r="374" spans="1:6" ht="18" hidden="1" x14ac:dyDescent="0.35">
      <c r="A374" s="6" t="s">
        <v>123</v>
      </c>
      <c r="B374" s="6" t="s">
        <v>155</v>
      </c>
      <c r="C374" s="6" t="s">
        <v>122</v>
      </c>
      <c r="D374" s="2">
        <v>27</v>
      </c>
      <c r="E374" s="5">
        <f>IF(C374="", "", IFERROR(VLOOKUP(C374, Price_List!A:D, IF(Dashboard!$B$9="樂觀(Snipe)", 3, IF(Dashboard!$B$9="悲觀(Panic)", 4, 2)), 0), 0))</f>
        <v>1650000</v>
      </c>
      <c r="F374" s="5">
        <f t="shared" si="5"/>
        <v>44550000</v>
      </c>
    </row>
    <row r="375" spans="1:6" ht="18" hidden="1" x14ac:dyDescent="0.35">
      <c r="A375" s="6" t="s">
        <v>123</v>
      </c>
      <c r="B375" s="6" t="s">
        <v>155</v>
      </c>
      <c r="C375" s="6" t="s">
        <v>124</v>
      </c>
      <c r="D375" s="2">
        <v>42</v>
      </c>
      <c r="E375" s="5">
        <f>IF(C375="", "", IFERROR(VLOOKUP(C375, Price_List!A:D, IF(Dashboard!$B$9="樂觀(Snipe)", 3, IF(Dashboard!$B$9="悲觀(Panic)", 4, 2)), 0), 0))</f>
        <v>899999</v>
      </c>
      <c r="F375" s="5">
        <f t="shared" si="5"/>
        <v>37799958</v>
      </c>
    </row>
    <row r="376" spans="1:6" ht="18" hidden="1" x14ac:dyDescent="0.35">
      <c r="A376" s="6" t="s">
        <v>123</v>
      </c>
      <c r="B376" s="6" t="s">
        <v>155</v>
      </c>
      <c r="C376" s="6" t="s">
        <v>125</v>
      </c>
      <c r="D376" s="2">
        <v>19</v>
      </c>
      <c r="E376" s="5">
        <f>IF(C376="", "", IFERROR(VLOOKUP(C376, Price_List!A:D, IF(Dashboard!$B$9="樂觀(Snipe)", 3, IF(Dashboard!$B$9="悲觀(Panic)", 4, 2)), 0), 0))</f>
        <v>6879998</v>
      </c>
      <c r="F376" s="5">
        <f t="shared" si="5"/>
        <v>130719962</v>
      </c>
    </row>
    <row r="377" spans="1:6" ht="18" hidden="1" x14ac:dyDescent="0.35">
      <c r="A377" s="6" t="s">
        <v>123</v>
      </c>
      <c r="B377" s="6" t="s">
        <v>155</v>
      </c>
      <c r="C377" s="6" t="s">
        <v>153</v>
      </c>
      <c r="D377" s="2">
        <v>121</v>
      </c>
      <c r="E377" s="5">
        <f>IF(C377="", "", IFERROR(VLOOKUP(C377, Price_List!A:D, IF(Dashboard!$B$9="樂觀(Snipe)", 3, IF(Dashboard!$B$9="悲觀(Panic)", 4, 2)), 0), 0))</f>
        <v>208996</v>
      </c>
      <c r="F377" s="5">
        <f t="shared" si="5"/>
        <v>25288516</v>
      </c>
    </row>
    <row r="378" spans="1:6" ht="18" hidden="1" x14ac:dyDescent="0.35">
      <c r="A378" s="6" t="s">
        <v>123</v>
      </c>
      <c r="B378" s="6" t="s">
        <v>155</v>
      </c>
      <c r="C378" s="6" t="s">
        <v>108</v>
      </c>
      <c r="D378" s="2">
        <v>70</v>
      </c>
      <c r="E378" s="5">
        <f>IF(C378="", "", IFERROR(VLOOKUP(C378, Price_List!A:D, IF(Dashboard!$B$9="樂觀(Snipe)", 3, IF(Dashboard!$B$9="悲觀(Panic)", 4, 2)), 0), 0))</f>
        <v>189998</v>
      </c>
      <c r="F378" s="5">
        <f t="shared" si="5"/>
        <v>13299860</v>
      </c>
    </row>
    <row r="379" spans="1:6" ht="18" hidden="1" x14ac:dyDescent="0.35">
      <c r="A379" s="2" t="s">
        <v>39</v>
      </c>
      <c r="B379" s="6" t="s">
        <v>139</v>
      </c>
      <c r="C379" s="6" t="s">
        <v>97</v>
      </c>
      <c r="D379" s="2">
        <v>3</v>
      </c>
      <c r="E379" s="5">
        <f>IF(C379="", "", IFERROR(VLOOKUP(C379, Price_List!A:D, IF(Dashboard!$B$9="樂觀(Snipe)", 3, IF(Dashboard!$B$9="悲觀(Panic)", 4, 2)), 0), 0))</f>
        <v>3150000</v>
      </c>
      <c r="F379" s="5">
        <f t="shared" si="5"/>
        <v>9450000</v>
      </c>
    </row>
    <row r="380" spans="1:6" ht="18" hidden="1" x14ac:dyDescent="0.35">
      <c r="A380" s="2" t="s">
        <v>39</v>
      </c>
      <c r="B380" s="6" t="s">
        <v>139</v>
      </c>
      <c r="C380" s="6" t="s">
        <v>105</v>
      </c>
      <c r="D380" s="2">
        <v>15</v>
      </c>
      <c r="E380" s="5">
        <f>IF(C380="", "", IFERROR(VLOOKUP(C380, Price_List!A:D, IF(Dashboard!$B$9="樂觀(Snipe)", 3, IF(Dashboard!$B$9="悲觀(Panic)", 4, 2)), 0), 0))</f>
        <v>560000</v>
      </c>
      <c r="F380" s="5">
        <f t="shared" si="5"/>
        <v>8400000</v>
      </c>
    </row>
    <row r="381" spans="1:6" ht="18" hidden="1" x14ac:dyDescent="0.35">
      <c r="A381" s="2" t="s">
        <v>39</v>
      </c>
      <c r="B381" s="6" t="s">
        <v>139</v>
      </c>
      <c r="C381" s="6" t="s">
        <v>156</v>
      </c>
      <c r="D381" s="2">
        <v>41</v>
      </c>
      <c r="E381" s="5">
        <f>IF(C381="", "", IFERROR(VLOOKUP(C381, Price_List!A:D, IF(Dashboard!$B$9="樂觀(Snipe)", 3, IF(Dashboard!$B$9="悲觀(Panic)", 4, 2)), 0), 0))</f>
        <v>11900</v>
      </c>
      <c r="F381" s="5">
        <f t="shared" si="5"/>
        <v>487900</v>
      </c>
    </row>
    <row r="382" spans="1:6" ht="18" hidden="1" x14ac:dyDescent="0.35">
      <c r="A382" s="2" t="s">
        <v>39</v>
      </c>
      <c r="B382" s="6" t="s">
        <v>139</v>
      </c>
      <c r="C382" s="6" t="s">
        <v>106</v>
      </c>
      <c r="D382" s="2">
        <v>6</v>
      </c>
      <c r="E382" s="5">
        <f>IF(C382="", "", IFERROR(VLOOKUP(C382, Price_List!A:D, IF(Dashboard!$B$9="樂觀(Snipe)", 3, IF(Dashboard!$B$9="悲觀(Panic)", 4, 2)), 0), 0))</f>
        <v>2199999</v>
      </c>
      <c r="F382" s="5">
        <f t="shared" si="5"/>
        <v>13199994</v>
      </c>
    </row>
    <row r="383" spans="1:6" ht="18" hidden="1" x14ac:dyDescent="0.35">
      <c r="A383" s="2" t="s">
        <v>39</v>
      </c>
      <c r="B383" s="6" t="s">
        <v>139</v>
      </c>
      <c r="C383" s="6" t="s">
        <v>122</v>
      </c>
      <c r="D383" s="2">
        <v>11</v>
      </c>
      <c r="E383" s="5">
        <f>IF(C383="", "", IFERROR(VLOOKUP(C383, Price_List!A:D, IF(Dashboard!$B$9="樂觀(Snipe)", 3, IF(Dashboard!$B$9="悲觀(Panic)", 4, 2)), 0), 0))</f>
        <v>1650000</v>
      </c>
      <c r="F383" s="5">
        <f t="shared" si="5"/>
        <v>18150000</v>
      </c>
    </row>
    <row r="384" spans="1:6" ht="18" hidden="1" x14ac:dyDescent="0.35">
      <c r="A384" s="2" t="s">
        <v>39</v>
      </c>
      <c r="B384" s="6" t="s">
        <v>139</v>
      </c>
      <c r="C384" s="6" t="s">
        <v>124</v>
      </c>
      <c r="D384" s="2">
        <v>21</v>
      </c>
      <c r="E384" s="5">
        <f>IF(C384="", "", IFERROR(VLOOKUP(C384, Price_List!A:D, IF(Dashboard!$B$9="樂觀(Snipe)", 3, IF(Dashboard!$B$9="悲觀(Panic)", 4, 2)), 0), 0))</f>
        <v>899999</v>
      </c>
      <c r="F384" s="5">
        <f t="shared" si="5"/>
        <v>18899979</v>
      </c>
    </row>
    <row r="385" spans="1:6" ht="18" hidden="1" x14ac:dyDescent="0.35">
      <c r="A385" s="2" t="s">
        <v>39</v>
      </c>
      <c r="B385" s="6" t="s">
        <v>139</v>
      </c>
      <c r="C385" s="6" t="s">
        <v>144</v>
      </c>
      <c r="D385" s="2">
        <v>36</v>
      </c>
      <c r="E385" s="5">
        <f>IF(C385="", "", IFERROR(VLOOKUP(C385, Price_List!A:D, IF(Dashboard!$B$9="樂觀(Snipe)", 3, IF(Dashboard!$B$9="悲觀(Panic)", 4, 2)), 0), 0))</f>
        <v>188000</v>
      </c>
      <c r="F385" s="5">
        <f t="shared" si="5"/>
        <v>6768000</v>
      </c>
    </row>
    <row r="386" spans="1:6" ht="18" hidden="1" x14ac:dyDescent="0.35">
      <c r="A386" s="2" t="s">
        <v>39</v>
      </c>
      <c r="B386" s="6" t="s">
        <v>139</v>
      </c>
      <c r="C386" s="6" t="s">
        <v>108</v>
      </c>
      <c r="D386" s="2">
        <v>21</v>
      </c>
      <c r="E386" s="5">
        <f>IF(C386="", "", IFERROR(VLOOKUP(C386, Price_List!A:D, IF(Dashboard!$B$9="樂觀(Snipe)", 3, IF(Dashboard!$B$9="悲觀(Panic)", 4, 2)), 0), 0))</f>
        <v>189998</v>
      </c>
      <c r="F386" s="5">
        <f t="shared" ref="F386:F449" si="6">IF(C386="", "", D386*E386)</f>
        <v>3989958</v>
      </c>
    </row>
    <row r="387" spans="1:6" ht="18" hidden="1" x14ac:dyDescent="0.35">
      <c r="A387" s="2" t="s">
        <v>39</v>
      </c>
      <c r="B387" s="6" t="s">
        <v>154</v>
      </c>
      <c r="C387" s="6" t="s">
        <v>101</v>
      </c>
      <c r="D387" s="2">
        <v>3</v>
      </c>
      <c r="E387" s="5">
        <f>IF(C387="", "", IFERROR(VLOOKUP(C387, Price_List!A:D, IF(Dashboard!$B$9="樂觀(Snipe)", 3, IF(Dashboard!$B$9="悲觀(Panic)", 4, 2)), 0), 0))</f>
        <v>2900000</v>
      </c>
      <c r="F387" s="5">
        <f t="shared" si="6"/>
        <v>8700000</v>
      </c>
    </row>
    <row r="388" spans="1:6" ht="18" hidden="1" x14ac:dyDescent="0.35">
      <c r="A388" s="2" t="s">
        <v>39</v>
      </c>
      <c r="B388" s="6" t="s">
        <v>154</v>
      </c>
      <c r="C388" s="6" t="s">
        <v>105</v>
      </c>
      <c r="D388" s="2">
        <v>15</v>
      </c>
      <c r="E388" s="5">
        <f>IF(C388="", "", IFERROR(VLOOKUP(C388, Price_List!A:D, IF(Dashboard!$B$9="樂觀(Snipe)", 3, IF(Dashboard!$B$9="悲觀(Panic)", 4, 2)), 0), 0))</f>
        <v>560000</v>
      </c>
      <c r="F388" s="5">
        <f t="shared" si="6"/>
        <v>8400000</v>
      </c>
    </row>
    <row r="389" spans="1:6" ht="18" hidden="1" x14ac:dyDescent="0.35">
      <c r="A389" s="2" t="s">
        <v>39</v>
      </c>
      <c r="B389" s="6" t="s">
        <v>154</v>
      </c>
      <c r="C389" s="6" t="s">
        <v>156</v>
      </c>
      <c r="D389" s="2">
        <v>41</v>
      </c>
      <c r="E389" s="5">
        <f>IF(C389="", "", IFERROR(VLOOKUP(C389, Price_List!A:D, IF(Dashboard!$B$9="樂觀(Snipe)", 3, IF(Dashboard!$B$9="悲觀(Panic)", 4, 2)), 0), 0))</f>
        <v>11900</v>
      </c>
      <c r="F389" s="5">
        <f t="shared" si="6"/>
        <v>487900</v>
      </c>
    </row>
    <row r="390" spans="1:6" ht="18" hidden="1" x14ac:dyDescent="0.35">
      <c r="A390" s="2" t="s">
        <v>39</v>
      </c>
      <c r="B390" s="6" t="s">
        <v>154</v>
      </c>
      <c r="C390" s="6" t="s">
        <v>106</v>
      </c>
      <c r="D390" s="2">
        <v>6</v>
      </c>
      <c r="E390" s="5">
        <f>IF(C390="", "", IFERROR(VLOOKUP(C390, Price_List!A:D, IF(Dashboard!$B$9="樂觀(Snipe)", 3, IF(Dashboard!$B$9="悲觀(Panic)", 4, 2)), 0), 0))</f>
        <v>2199999</v>
      </c>
      <c r="F390" s="5">
        <f t="shared" si="6"/>
        <v>13199994</v>
      </c>
    </row>
    <row r="391" spans="1:6" ht="18" hidden="1" x14ac:dyDescent="0.35">
      <c r="A391" s="2" t="s">
        <v>39</v>
      </c>
      <c r="B391" s="6" t="s">
        <v>154</v>
      </c>
      <c r="C391" s="6" t="s">
        <v>122</v>
      </c>
      <c r="D391" s="2">
        <v>11</v>
      </c>
      <c r="E391" s="5">
        <f>IF(C391="", "", IFERROR(VLOOKUP(C391, Price_List!A:D, IF(Dashboard!$B$9="樂觀(Snipe)", 3, IF(Dashboard!$B$9="悲觀(Panic)", 4, 2)), 0), 0))</f>
        <v>1650000</v>
      </c>
      <c r="F391" s="5">
        <f t="shared" si="6"/>
        <v>18150000</v>
      </c>
    </row>
    <row r="392" spans="1:6" ht="18" hidden="1" x14ac:dyDescent="0.35">
      <c r="A392" s="2" t="s">
        <v>39</v>
      </c>
      <c r="B392" s="6" t="s">
        <v>154</v>
      </c>
      <c r="C392" s="6" t="s">
        <v>124</v>
      </c>
      <c r="D392" s="2">
        <v>21</v>
      </c>
      <c r="E392" s="5">
        <f>IF(C392="", "", IFERROR(VLOOKUP(C392, Price_List!A:D, IF(Dashboard!$B$9="樂觀(Snipe)", 3, IF(Dashboard!$B$9="悲觀(Panic)", 4, 2)), 0), 0))</f>
        <v>899999</v>
      </c>
      <c r="F392" s="5">
        <f t="shared" si="6"/>
        <v>18899979</v>
      </c>
    </row>
    <row r="393" spans="1:6" ht="18" hidden="1" x14ac:dyDescent="0.35">
      <c r="A393" s="2" t="s">
        <v>39</v>
      </c>
      <c r="B393" s="6" t="s">
        <v>154</v>
      </c>
      <c r="C393" s="6" t="s">
        <v>147</v>
      </c>
      <c r="D393" s="2">
        <v>36</v>
      </c>
      <c r="E393" s="5">
        <f>IF(C393="", "", IFERROR(VLOOKUP(C393, Price_List!A:D, IF(Dashboard!$B$9="樂觀(Snipe)", 3, IF(Dashboard!$B$9="悲觀(Panic)", 4, 2)), 0), 0))</f>
        <v>195497</v>
      </c>
      <c r="F393" s="5">
        <f t="shared" si="6"/>
        <v>7037892</v>
      </c>
    </row>
    <row r="394" spans="1:6" ht="18" hidden="1" x14ac:dyDescent="0.35">
      <c r="A394" s="2" t="s">
        <v>39</v>
      </c>
      <c r="B394" s="6" t="s">
        <v>154</v>
      </c>
      <c r="C394" s="6" t="s">
        <v>108</v>
      </c>
      <c r="D394" s="2">
        <v>21</v>
      </c>
      <c r="E394" s="5">
        <f>IF(C394="", "", IFERROR(VLOOKUP(C394, Price_List!A:D, IF(Dashboard!$B$9="樂觀(Snipe)", 3, IF(Dashboard!$B$9="悲觀(Panic)", 4, 2)), 0), 0))</f>
        <v>189998</v>
      </c>
      <c r="F394" s="5">
        <f t="shared" si="6"/>
        <v>3989958</v>
      </c>
    </row>
    <row r="395" spans="1:6" ht="18" hidden="1" x14ac:dyDescent="0.35">
      <c r="A395" s="2" t="s">
        <v>39</v>
      </c>
      <c r="B395" s="6" t="s">
        <v>155</v>
      </c>
      <c r="C395" s="6" t="s">
        <v>102</v>
      </c>
      <c r="D395" s="2">
        <v>3</v>
      </c>
      <c r="E395" s="5">
        <f>IF(C395="", "", IFERROR(VLOOKUP(C395, Price_List!A:D, IF(Dashboard!$B$9="樂觀(Snipe)", 3, IF(Dashboard!$B$9="悲觀(Panic)", 4, 2)), 0), 0))</f>
        <v>2999990</v>
      </c>
      <c r="F395" s="5">
        <f t="shared" si="6"/>
        <v>8999970</v>
      </c>
    </row>
    <row r="396" spans="1:6" ht="18" hidden="1" x14ac:dyDescent="0.35">
      <c r="A396" s="2" t="s">
        <v>39</v>
      </c>
      <c r="B396" s="6" t="s">
        <v>155</v>
      </c>
      <c r="C396" s="6" t="s">
        <v>105</v>
      </c>
      <c r="D396" s="2">
        <v>15</v>
      </c>
      <c r="E396" s="5">
        <f>IF(C396="", "", IFERROR(VLOOKUP(C396, Price_List!A:D, IF(Dashboard!$B$9="樂觀(Snipe)", 3, IF(Dashboard!$B$9="悲觀(Panic)", 4, 2)), 0), 0))</f>
        <v>560000</v>
      </c>
      <c r="F396" s="5">
        <f t="shared" si="6"/>
        <v>8400000</v>
      </c>
    </row>
    <row r="397" spans="1:6" ht="18" hidden="1" x14ac:dyDescent="0.35">
      <c r="A397" s="2" t="s">
        <v>39</v>
      </c>
      <c r="B397" s="6" t="s">
        <v>155</v>
      </c>
      <c r="C397" s="6" t="s">
        <v>156</v>
      </c>
      <c r="D397" s="2">
        <v>41</v>
      </c>
      <c r="E397" s="5">
        <f>IF(C397="", "", IFERROR(VLOOKUP(C397, Price_List!A:D, IF(Dashboard!$B$9="樂觀(Snipe)", 3, IF(Dashboard!$B$9="悲觀(Panic)", 4, 2)), 0), 0))</f>
        <v>11900</v>
      </c>
      <c r="F397" s="5">
        <f t="shared" si="6"/>
        <v>487900</v>
      </c>
    </row>
    <row r="398" spans="1:6" ht="18" hidden="1" x14ac:dyDescent="0.35">
      <c r="A398" s="2" t="s">
        <v>39</v>
      </c>
      <c r="B398" s="6" t="s">
        <v>155</v>
      </c>
      <c r="C398" s="6" t="s">
        <v>106</v>
      </c>
      <c r="D398" s="2">
        <v>6</v>
      </c>
      <c r="E398" s="5">
        <f>IF(C398="", "", IFERROR(VLOOKUP(C398, Price_List!A:D, IF(Dashboard!$B$9="樂觀(Snipe)", 3, IF(Dashboard!$B$9="悲觀(Panic)", 4, 2)), 0), 0))</f>
        <v>2199999</v>
      </c>
      <c r="F398" s="5">
        <f t="shared" si="6"/>
        <v>13199994</v>
      </c>
    </row>
    <row r="399" spans="1:6" ht="18" hidden="1" x14ac:dyDescent="0.35">
      <c r="A399" s="2" t="s">
        <v>39</v>
      </c>
      <c r="B399" s="6" t="s">
        <v>155</v>
      </c>
      <c r="C399" s="6" t="s">
        <v>122</v>
      </c>
      <c r="D399" s="2">
        <v>11</v>
      </c>
      <c r="E399" s="5">
        <f>IF(C399="", "", IFERROR(VLOOKUP(C399, Price_List!A:D, IF(Dashboard!$B$9="樂觀(Snipe)", 3, IF(Dashboard!$B$9="悲觀(Panic)", 4, 2)), 0), 0))</f>
        <v>1650000</v>
      </c>
      <c r="F399" s="5">
        <f t="shared" si="6"/>
        <v>18150000</v>
      </c>
    </row>
    <row r="400" spans="1:6" ht="18" hidden="1" x14ac:dyDescent="0.35">
      <c r="A400" s="2" t="s">
        <v>39</v>
      </c>
      <c r="B400" s="6" t="s">
        <v>155</v>
      </c>
      <c r="C400" s="6" t="s">
        <v>124</v>
      </c>
      <c r="D400" s="2">
        <v>21</v>
      </c>
      <c r="E400" s="5">
        <f>IF(C400="", "", IFERROR(VLOOKUP(C400, Price_List!A:D, IF(Dashboard!$B$9="樂觀(Snipe)", 3, IF(Dashboard!$B$9="悲觀(Panic)", 4, 2)), 0), 0))</f>
        <v>899999</v>
      </c>
      <c r="F400" s="5">
        <f t="shared" si="6"/>
        <v>18899979</v>
      </c>
    </row>
    <row r="401" spans="1:6" ht="18" hidden="1" x14ac:dyDescent="0.35">
      <c r="A401" s="2" t="s">
        <v>39</v>
      </c>
      <c r="B401" s="6" t="s">
        <v>155</v>
      </c>
      <c r="C401" s="6" t="s">
        <v>144</v>
      </c>
      <c r="D401" s="2">
        <v>36</v>
      </c>
      <c r="E401" s="5">
        <f>IF(C401="", "", IFERROR(VLOOKUP(C401, Price_List!A:D, IF(Dashboard!$B$9="樂觀(Snipe)", 3, IF(Dashboard!$B$9="悲觀(Panic)", 4, 2)), 0), 0))</f>
        <v>188000</v>
      </c>
      <c r="F401" s="5">
        <f t="shared" si="6"/>
        <v>6768000</v>
      </c>
    </row>
    <row r="402" spans="1:6" ht="18" hidden="1" x14ac:dyDescent="0.35">
      <c r="A402" s="2" t="s">
        <v>39</v>
      </c>
      <c r="B402" s="6" t="s">
        <v>155</v>
      </c>
      <c r="C402" s="6" t="s">
        <v>108</v>
      </c>
      <c r="D402" s="2">
        <v>21</v>
      </c>
      <c r="E402" s="5">
        <f>IF(C402="", "", IFERROR(VLOOKUP(C402, Price_List!A:D, IF(Dashboard!$B$9="樂觀(Snipe)", 3, IF(Dashboard!$B$9="悲觀(Panic)", 4, 2)), 0), 0))</f>
        <v>189998</v>
      </c>
      <c r="F402" s="5">
        <f t="shared" si="6"/>
        <v>3989958</v>
      </c>
    </row>
    <row r="403" spans="1:6" ht="18" hidden="1" x14ac:dyDescent="0.35">
      <c r="A403" s="2" t="s">
        <v>39</v>
      </c>
      <c r="B403" s="6" t="s">
        <v>126</v>
      </c>
      <c r="C403" s="6" t="s">
        <v>127</v>
      </c>
      <c r="D403" s="2">
        <v>3</v>
      </c>
      <c r="E403" s="5">
        <f>IF(C403="", "", IFERROR(VLOOKUP(C403, Price_List!A:D, IF(Dashboard!$B$9="樂觀(Snipe)", 3, IF(Dashboard!$B$9="悲觀(Panic)", 4, 2)), 0), 0))</f>
        <v>2866664</v>
      </c>
      <c r="F403" s="5">
        <f t="shared" si="6"/>
        <v>8599992</v>
      </c>
    </row>
    <row r="404" spans="1:6" ht="18" hidden="1" x14ac:dyDescent="0.35">
      <c r="A404" s="2" t="s">
        <v>39</v>
      </c>
      <c r="B404" s="6" t="s">
        <v>126</v>
      </c>
      <c r="C404" s="6" t="s">
        <v>105</v>
      </c>
      <c r="D404" s="2">
        <v>15</v>
      </c>
      <c r="E404" s="5">
        <f>IF(C404="", "", IFERROR(VLOOKUP(C404, Price_List!A:D, IF(Dashboard!$B$9="樂觀(Snipe)", 3, IF(Dashboard!$B$9="悲觀(Panic)", 4, 2)), 0), 0))</f>
        <v>560000</v>
      </c>
      <c r="F404" s="5">
        <f t="shared" si="6"/>
        <v>8400000</v>
      </c>
    </row>
    <row r="405" spans="1:6" ht="18" hidden="1" x14ac:dyDescent="0.35">
      <c r="A405" s="2" t="s">
        <v>39</v>
      </c>
      <c r="B405" s="6" t="s">
        <v>126</v>
      </c>
      <c r="C405" s="6" t="s">
        <v>157</v>
      </c>
      <c r="D405" s="2">
        <v>41</v>
      </c>
      <c r="E405" s="5">
        <f>IF(C405="", "", IFERROR(VLOOKUP(C405, Price_List!A:D, IF(Dashboard!$B$9="樂觀(Snipe)", 3, IF(Dashboard!$B$9="悲觀(Panic)", 4, 2)), 0), 0))</f>
        <v>11900</v>
      </c>
      <c r="F405" s="5">
        <f t="shared" si="6"/>
        <v>487900</v>
      </c>
    </row>
    <row r="406" spans="1:6" ht="18" hidden="1" x14ac:dyDescent="0.35">
      <c r="A406" s="2" t="s">
        <v>39</v>
      </c>
      <c r="B406" s="6" t="s">
        <v>126</v>
      </c>
      <c r="C406" s="6" t="s">
        <v>106</v>
      </c>
      <c r="D406" s="2">
        <v>6</v>
      </c>
      <c r="E406" s="5">
        <f>IF(C406="", "", IFERROR(VLOOKUP(C406, Price_List!A:D, IF(Dashboard!$B$9="樂觀(Snipe)", 3, IF(Dashboard!$B$9="悲觀(Panic)", 4, 2)), 0), 0))</f>
        <v>2199999</v>
      </c>
      <c r="F406" s="5">
        <f t="shared" si="6"/>
        <v>13199994</v>
      </c>
    </row>
    <row r="407" spans="1:6" ht="18" hidden="1" x14ac:dyDescent="0.35">
      <c r="A407" s="2" t="s">
        <v>39</v>
      </c>
      <c r="B407" s="6" t="s">
        <v>126</v>
      </c>
      <c r="C407" s="6" t="s">
        <v>122</v>
      </c>
      <c r="D407" s="2">
        <v>11</v>
      </c>
      <c r="E407" s="5">
        <f>IF(C407="", "", IFERROR(VLOOKUP(C407, Price_List!A:D, IF(Dashboard!$B$9="樂觀(Snipe)", 3, IF(Dashboard!$B$9="悲觀(Panic)", 4, 2)), 0), 0))</f>
        <v>1650000</v>
      </c>
      <c r="F407" s="5">
        <f t="shared" si="6"/>
        <v>18150000</v>
      </c>
    </row>
    <row r="408" spans="1:6" ht="18" hidden="1" x14ac:dyDescent="0.35">
      <c r="A408" s="2" t="s">
        <v>39</v>
      </c>
      <c r="B408" s="6" t="s">
        <v>126</v>
      </c>
      <c r="C408" s="6" t="s">
        <v>124</v>
      </c>
      <c r="D408" s="2">
        <v>21</v>
      </c>
      <c r="E408" s="5">
        <f>IF(C408="", "", IFERROR(VLOOKUP(C408, Price_List!A:D, IF(Dashboard!$B$9="樂觀(Snipe)", 3, IF(Dashboard!$B$9="悲觀(Panic)", 4, 2)), 0), 0))</f>
        <v>899999</v>
      </c>
      <c r="F408" s="5">
        <f t="shared" si="6"/>
        <v>18899979</v>
      </c>
    </row>
    <row r="409" spans="1:6" ht="18" hidden="1" x14ac:dyDescent="0.35">
      <c r="A409" s="2" t="s">
        <v>39</v>
      </c>
      <c r="B409" s="6" t="s">
        <v>126</v>
      </c>
      <c r="C409" s="6" t="s">
        <v>107</v>
      </c>
      <c r="D409" s="2">
        <v>36</v>
      </c>
      <c r="E409" s="5">
        <f>IF(C409="", "", IFERROR(VLOOKUP(C409, Price_List!A:D, IF(Dashboard!$B$9="樂觀(Snipe)", 3, IF(Dashboard!$B$9="悲觀(Panic)", 4, 2)), 0), 0))</f>
        <v>205000</v>
      </c>
      <c r="F409" s="5">
        <f t="shared" si="6"/>
        <v>7380000</v>
      </c>
    </row>
    <row r="410" spans="1:6" ht="18" hidden="1" x14ac:dyDescent="0.35">
      <c r="A410" s="2" t="s">
        <v>39</v>
      </c>
      <c r="B410" s="6" t="s">
        <v>126</v>
      </c>
      <c r="C410" s="6" t="s">
        <v>108</v>
      </c>
      <c r="D410" s="2">
        <v>21</v>
      </c>
      <c r="E410" s="5">
        <f>IF(C410="", "", IFERROR(VLOOKUP(C410, Price_List!A:D, IF(Dashboard!$B$9="樂觀(Snipe)", 3, IF(Dashboard!$B$9="悲觀(Panic)", 4, 2)), 0), 0))</f>
        <v>189998</v>
      </c>
      <c r="F410" s="5">
        <f t="shared" si="6"/>
        <v>3989958</v>
      </c>
    </row>
    <row r="411" spans="1:6" ht="18" hidden="1" x14ac:dyDescent="0.35">
      <c r="A411" s="2" t="s">
        <v>39</v>
      </c>
      <c r="B411" s="6" t="s">
        <v>130</v>
      </c>
      <c r="C411" s="6" t="s">
        <v>129</v>
      </c>
      <c r="D411" s="2">
        <v>3</v>
      </c>
      <c r="E411" s="5">
        <f>IF(C411="", "", IFERROR(VLOOKUP(C411, Price_List!A:D, IF(Dashboard!$B$9="樂觀(Snipe)", 3, IF(Dashboard!$B$9="悲觀(Panic)", 4, 2)), 0), 0))</f>
        <v>3429999</v>
      </c>
      <c r="F411" s="5">
        <f t="shared" si="6"/>
        <v>10289997</v>
      </c>
    </row>
    <row r="412" spans="1:6" ht="18" hidden="1" x14ac:dyDescent="0.35">
      <c r="A412" s="2" t="s">
        <v>39</v>
      </c>
      <c r="B412" s="6" t="s">
        <v>130</v>
      </c>
      <c r="C412" s="6" t="s">
        <v>105</v>
      </c>
      <c r="D412" s="2">
        <v>15</v>
      </c>
      <c r="E412" s="5">
        <f>IF(C412="", "", IFERROR(VLOOKUP(C412, Price_List!A:D, IF(Dashboard!$B$9="樂觀(Snipe)", 3, IF(Dashboard!$B$9="悲觀(Panic)", 4, 2)), 0), 0))</f>
        <v>560000</v>
      </c>
      <c r="F412" s="5">
        <f t="shared" si="6"/>
        <v>8400000</v>
      </c>
    </row>
    <row r="413" spans="1:6" ht="18" hidden="1" x14ac:dyDescent="0.35">
      <c r="A413" s="2" t="s">
        <v>39</v>
      </c>
      <c r="B413" s="6" t="s">
        <v>130</v>
      </c>
      <c r="C413" s="6" t="s">
        <v>157</v>
      </c>
      <c r="D413" s="2">
        <v>41</v>
      </c>
      <c r="E413" s="5">
        <f>IF(C413="", "", IFERROR(VLOOKUP(C413, Price_List!A:D, IF(Dashboard!$B$9="樂觀(Snipe)", 3, IF(Dashboard!$B$9="悲觀(Panic)", 4, 2)), 0), 0))</f>
        <v>11900</v>
      </c>
      <c r="F413" s="5">
        <f t="shared" si="6"/>
        <v>487900</v>
      </c>
    </row>
    <row r="414" spans="1:6" ht="18" hidden="1" x14ac:dyDescent="0.35">
      <c r="A414" s="2" t="s">
        <v>39</v>
      </c>
      <c r="B414" s="6" t="s">
        <v>130</v>
      </c>
      <c r="C414" s="6" t="s">
        <v>106</v>
      </c>
      <c r="D414" s="2">
        <v>6</v>
      </c>
      <c r="E414" s="5">
        <f>IF(C414="", "", IFERROR(VLOOKUP(C414, Price_List!A:D, IF(Dashboard!$B$9="樂觀(Snipe)", 3, IF(Dashboard!$B$9="悲觀(Panic)", 4, 2)), 0), 0))</f>
        <v>2199999</v>
      </c>
      <c r="F414" s="5">
        <f t="shared" si="6"/>
        <v>13199994</v>
      </c>
    </row>
    <row r="415" spans="1:6" ht="18" hidden="1" x14ac:dyDescent="0.35">
      <c r="A415" s="2" t="s">
        <v>39</v>
      </c>
      <c r="B415" s="6" t="s">
        <v>130</v>
      </c>
      <c r="C415" s="6" t="s">
        <v>122</v>
      </c>
      <c r="D415" s="2">
        <v>11</v>
      </c>
      <c r="E415" s="5">
        <f>IF(C415="", "", IFERROR(VLOOKUP(C415, Price_List!A:D, IF(Dashboard!$B$9="樂觀(Snipe)", 3, IF(Dashboard!$B$9="悲觀(Panic)", 4, 2)), 0), 0))</f>
        <v>1650000</v>
      </c>
      <c r="F415" s="5">
        <f t="shared" si="6"/>
        <v>18150000</v>
      </c>
    </row>
    <row r="416" spans="1:6" ht="18" hidden="1" x14ac:dyDescent="0.35">
      <c r="A416" s="2" t="s">
        <v>39</v>
      </c>
      <c r="B416" s="6" t="s">
        <v>130</v>
      </c>
      <c r="C416" s="6" t="s">
        <v>124</v>
      </c>
      <c r="D416" s="2">
        <v>21</v>
      </c>
      <c r="E416" s="5">
        <f>IF(C416="", "", IFERROR(VLOOKUP(C416, Price_List!A:D, IF(Dashboard!$B$9="樂觀(Snipe)", 3, IF(Dashboard!$B$9="悲觀(Panic)", 4, 2)), 0), 0))</f>
        <v>899999</v>
      </c>
      <c r="F416" s="5">
        <f t="shared" si="6"/>
        <v>18899979</v>
      </c>
    </row>
    <row r="417" spans="1:6" ht="18" hidden="1" x14ac:dyDescent="0.35">
      <c r="A417" s="2" t="s">
        <v>39</v>
      </c>
      <c r="B417" s="6" t="s">
        <v>130</v>
      </c>
      <c r="C417" s="6" t="s">
        <v>107</v>
      </c>
      <c r="D417" s="2">
        <v>36</v>
      </c>
      <c r="E417" s="5">
        <f>IF(C417="", "", IFERROR(VLOOKUP(C417, Price_List!A:D, IF(Dashboard!$B$9="樂觀(Snipe)", 3, IF(Dashboard!$B$9="悲觀(Panic)", 4, 2)), 0), 0))</f>
        <v>205000</v>
      </c>
      <c r="F417" s="5">
        <f t="shared" si="6"/>
        <v>7380000</v>
      </c>
    </row>
    <row r="418" spans="1:6" ht="18" hidden="1" x14ac:dyDescent="0.35">
      <c r="A418" s="2" t="s">
        <v>39</v>
      </c>
      <c r="B418" s="6" t="s">
        <v>130</v>
      </c>
      <c r="C418" s="6" t="s">
        <v>108</v>
      </c>
      <c r="D418" s="2">
        <v>21</v>
      </c>
      <c r="E418" s="5">
        <f>IF(C418="", "", IFERROR(VLOOKUP(C418, Price_List!A:D, IF(Dashboard!$B$9="樂觀(Snipe)", 3, IF(Dashboard!$B$9="悲觀(Panic)", 4, 2)), 0), 0))</f>
        <v>189998</v>
      </c>
      <c r="F418" s="5">
        <f t="shared" si="6"/>
        <v>3989958</v>
      </c>
    </row>
    <row r="419" spans="1:6" ht="18" hidden="1" x14ac:dyDescent="0.35">
      <c r="A419" s="2" t="s">
        <v>39</v>
      </c>
      <c r="B419" s="6" t="s">
        <v>131</v>
      </c>
      <c r="C419" s="6" t="s">
        <v>132</v>
      </c>
      <c r="D419" s="2">
        <v>3</v>
      </c>
      <c r="E419" s="5">
        <f>IF(C419="", "", IFERROR(VLOOKUP(C419, Price_List!A:D, IF(Dashboard!$B$9="樂觀(Snipe)", 3, IF(Dashboard!$B$9="悲觀(Panic)", 4, 2)), 0), 0))</f>
        <v>3188800</v>
      </c>
      <c r="F419" s="5">
        <f t="shared" si="6"/>
        <v>9566400</v>
      </c>
    </row>
    <row r="420" spans="1:6" ht="18" hidden="1" x14ac:dyDescent="0.35">
      <c r="A420" s="2" t="s">
        <v>39</v>
      </c>
      <c r="B420" s="6" t="s">
        <v>131</v>
      </c>
      <c r="C420" s="6" t="s">
        <v>105</v>
      </c>
      <c r="D420" s="2">
        <v>15</v>
      </c>
      <c r="E420" s="5">
        <f>IF(C420="", "", IFERROR(VLOOKUP(C420, Price_List!A:D, IF(Dashboard!$B$9="樂觀(Snipe)", 3, IF(Dashboard!$B$9="悲觀(Panic)", 4, 2)), 0), 0))</f>
        <v>560000</v>
      </c>
      <c r="F420" s="5">
        <f t="shared" si="6"/>
        <v>8400000</v>
      </c>
    </row>
    <row r="421" spans="1:6" ht="18" hidden="1" x14ac:dyDescent="0.35">
      <c r="A421" s="2" t="s">
        <v>39</v>
      </c>
      <c r="B421" s="6" t="s">
        <v>131</v>
      </c>
      <c r="C421" s="6" t="s">
        <v>157</v>
      </c>
      <c r="D421" s="2">
        <v>41</v>
      </c>
      <c r="E421" s="5">
        <f>IF(C421="", "", IFERROR(VLOOKUP(C421, Price_List!A:D, IF(Dashboard!$B$9="樂觀(Snipe)", 3, IF(Dashboard!$B$9="悲觀(Panic)", 4, 2)), 0), 0))</f>
        <v>11900</v>
      </c>
      <c r="F421" s="5">
        <f t="shared" si="6"/>
        <v>487900</v>
      </c>
    </row>
    <row r="422" spans="1:6" ht="18" hidden="1" x14ac:dyDescent="0.35">
      <c r="A422" s="2" t="s">
        <v>39</v>
      </c>
      <c r="B422" s="6" t="s">
        <v>131</v>
      </c>
      <c r="C422" s="6" t="s">
        <v>106</v>
      </c>
      <c r="D422" s="2">
        <v>6</v>
      </c>
      <c r="E422" s="5">
        <f>IF(C422="", "", IFERROR(VLOOKUP(C422, Price_List!A:D, IF(Dashboard!$B$9="樂觀(Snipe)", 3, IF(Dashboard!$B$9="悲觀(Panic)", 4, 2)), 0), 0))</f>
        <v>2199999</v>
      </c>
      <c r="F422" s="5">
        <f t="shared" si="6"/>
        <v>13199994</v>
      </c>
    </row>
    <row r="423" spans="1:6" ht="18" hidden="1" x14ac:dyDescent="0.35">
      <c r="A423" s="2" t="s">
        <v>39</v>
      </c>
      <c r="B423" s="6" t="s">
        <v>131</v>
      </c>
      <c r="C423" s="6" t="s">
        <v>122</v>
      </c>
      <c r="D423" s="2">
        <v>11</v>
      </c>
      <c r="E423" s="5">
        <f>IF(C423="", "", IFERROR(VLOOKUP(C423, Price_List!A:D, IF(Dashboard!$B$9="樂觀(Snipe)", 3, IF(Dashboard!$B$9="悲觀(Panic)", 4, 2)), 0), 0))</f>
        <v>1650000</v>
      </c>
      <c r="F423" s="5">
        <f t="shared" si="6"/>
        <v>18150000</v>
      </c>
    </row>
    <row r="424" spans="1:6" ht="18" hidden="1" x14ac:dyDescent="0.35">
      <c r="A424" s="2" t="s">
        <v>39</v>
      </c>
      <c r="B424" s="6" t="s">
        <v>131</v>
      </c>
      <c r="C424" s="6" t="s">
        <v>124</v>
      </c>
      <c r="D424" s="2">
        <v>21</v>
      </c>
      <c r="E424" s="5">
        <f>IF(C424="", "", IFERROR(VLOOKUP(C424, Price_List!A:D, IF(Dashboard!$B$9="樂觀(Snipe)", 3, IF(Dashboard!$B$9="悲觀(Panic)", 4, 2)), 0), 0))</f>
        <v>899999</v>
      </c>
      <c r="F424" s="5">
        <f t="shared" si="6"/>
        <v>18899979</v>
      </c>
    </row>
    <row r="425" spans="1:6" ht="18" hidden="1" x14ac:dyDescent="0.35">
      <c r="A425" s="2" t="s">
        <v>39</v>
      </c>
      <c r="B425" s="6" t="s">
        <v>131</v>
      </c>
      <c r="C425" s="6" t="s">
        <v>107</v>
      </c>
      <c r="D425" s="2">
        <v>36</v>
      </c>
      <c r="E425" s="5">
        <f>IF(C425="", "", IFERROR(VLOOKUP(C425, Price_List!A:D, IF(Dashboard!$B$9="樂觀(Snipe)", 3, IF(Dashboard!$B$9="悲觀(Panic)", 4, 2)), 0), 0))</f>
        <v>205000</v>
      </c>
      <c r="F425" s="5">
        <f t="shared" si="6"/>
        <v>7380000</v>
      </c>
    </row>
    <row r="426" spans="1:6" ht="18" hidden="1" x14ac:dyDescent="0.35">
      <c r="A426" s="2" t="s">
        <v>39</v>
      </c>
      <c r="B426" s="6" t="s">
        <v>131</v>
      </c>
      <c r="C426" s="6" t="s">
        <v>108</v>
      </c>
      <c r="D426" s="2">
        <v>21</v>
      </c>
      <c r="E426" s="5">
        <f>IF(C426="", "", IFERROR(VLOOKUP(C426, Price_List!A:D, IF(Dashboard!$B$9="樂觀(Snipe)", 3, IF(Dashboard!$B$9="悲觀(Panic)", 4, 2)), 0), 0))</f>
        <v>189998</v>
      </c>
      <c r="F426" s="5">
        <f t="shared" si="6"/>
        <v>3989958</v>
      </c>
    </row>
    <row r="427" spans="1:6" ht="18" hidden="1" x14ac:dyDescent="0.35">
      <c r="A427" s="2" t="s">
        <v>39</v>
      </c>
      <c r="B427" s="6" t="s">
        <v>134</v>
      </c>
      <c r="C427" s="6" t="s">
        <v>133</v>
      </c>
      <c r="D427" s="2">
        <v>3</v>
      </c>
      <c r="E427" s="5">
        <f>IF(C427="", "", IFERROR(VLOOKUP(C427, Price_List!A:D, IF(Dashboard!$B$9="樂觀(Snipe)", 3, IF(Dashboard!$B$9="悲觀(Panic)", 4, 2)), 0), 0))</f>
        <v>3149990</v>
      </c>
      <c r="F427" s="5">
        <f t="shared" si="6"/>
        <v>9449970</v>
      </c>
    </row>
    <row r="428" spans="1:6" ht="18" hidden="1" x14ac:dyDescent="0.35">
      <c r="A428" s="2" t="s">
        <v>39</v>
      </c>
      <c r="B428" s="6" t="s">
        <v>134</v>
      </c>
      <c r="C428" s="6" t="s">
        <v>105</v>
      </c>
      <c r="D428" s="2">
        <v>15</v>
      </c>
      <c r="E428" s="5">
        <f>IF(C428="", "", IFERROR(VLOOKUP(C428, Price_List!A:D, IF(Dashboard!$B$9="樂觀(Snipe)", 3, IF(Dashboard!$B$9="悲觀(Panic)", 4, 2)), 0), 0))</f>
        <v>560000</v>
      </c>
      <c r="F428" s="5">
        <f t="shared" si="6"/>
        <v>8400000</v>
      </c>
    </row>
    <row r="429" spans="1:6" ht="18" hidden="1" x14ac:dyDescent="0.35">
      <c r="A429" s="2" t="s">
        <v>39</v>
      </c>
      <c r="B429" s="6" t="s">
        <v>134</v>
      </c>
      <c r="C429" s="6" t="s">
        <v>157</v>
      </c>
      <c r="D429" s="2">
        <v>41</v>
      </c>
      <c r="E429" s="5">
        <f>IF(C429="", "", IFERROR(VLOOKUP(C429, Price_List!A:D, IF(Dashboard!$B$9="樂觀(Snipe)", 3, IF(Dashboard!$B$9="悲觀(Panic)", 4, 2)), 0), 0))</f>
        <v>11900</v>
      </c>
      <c r="F429" s="5">
        <f t="shared" si="6"/>
        <v>487900</v>
      </c>
    </row>
    <row r="430" spans="1:6" ht="18" hidden="1" x14ac:dyDescent="0.35">
      <c r="A430" s="2" t="s">
        <v>39</v>
      </c>
      <c r="B430" s="6" t="s">
        <v>134</v>
      </c>
      <c r="C430" s="6" t="s">
        <v>106</v>
      </c>
      <c r="D430" s="2">
        <v>6</v>
      </c>
      <c r="E430" s="5">
        <f>IF(C430="", "", IFERROR(VLOOKUP(C430, Price_List!A:D, IF(Dashboard!$B$9="樂觀(Snipe)", 3, IF(Dashboard!$B$9="悲觀(Panic)", 4, 2)), 0), 0))</f>
        <v>2199999</v>
      </c>
      <c r="F430" s="5">
        <f t="shared" si="6"/>
        <v>13199994</v>
      </c>
    </row>
    <row r="431" spans="1:6" ht="18" hidden="1" x14ac:dyDescent="0.35">
      <c r="A431" s="2" t="s">
        <v>39</v>
      </c>
      <c r="B431" s="6" t="s">
        <v>134</v>
      </c>
      <c r="C431" s="6" t="s">
        <v>122</v>
      </c>
      <c r="D431" s="2">
        <v>11</v>
      </c>
      <c r="E431" s="5">
        <f>IF(C431="", "", IFERROR(VLOOKUP(C431, Price_List!A:D, IF(Dashboard!$B$9="樂觀(Snipe)", 3, IF(Dashboard!$B$9="悲觀(Panic)", 4, 2)), 0), 0))</f>
        <v>1650000</v>
      </c>
      <c r="F431" s="5">
        <f t="shared" si="6"/>
        <v>18150000</v>
      </c>
    </row>
    <row r="432" spans="1:6" ht="18" hidden="1" x14ac:dyDescent="0.35">
      <c r="A432" s="2" t="s">
        <v>39</v>
      </c>
      <c r="B432" s="6" t="s">
        <v>134</v>
      </c>
      <c r="C432" s="6" t="s">
        <v>124</v>
      </c>
      <c r="D432" s="2">
        <v>21</v>
      </c>
      <c r="E432" s="5">
        <f>IF(C432="", "", IFERROR(VLOOKUP(C432, Price_List!A:D, IF(Dashboard!$B$9="樂觀(Snipe)", 3, IF(Dashboard!$B$9="悲觀(Panic)", 4, 2)), 0), 0))</f>
        <v>899999</v>
      </c>
      <c r="F432" s="5">
        <f t="shared" si="6"/>
        <v>18899979</v>
      </c>
    </row>
    <row r="433" spans="1:6" ht="18" hidden="1" x14ac:dyDescent="0.35">
      <c r="A433" s="2" t="s">
        <v>39</v>
      </c>
      <c r="B433" s="6" t="s">
        <v>134</v>
      </c>
      <c r="C433" s="6" t="s">
        <v>107</v>
      </c>
      <c r="D433" s="2">
        <v>36</v>
      </c>
      <c r="E433" s="5">
        <f>IF(C433="", "", IFERROR(VLOOKUP(C433, Price_List!A:D, IF(Dashboard!$B$9="樂觀(Snipe)", 3, IF(Dashboard!$B$9="悲觀(Panic)", 4, 2)), 0), 0))</f>
        <v>205000</v>
      </c>
      <c r="F433" s="5">
        <f t="shared" si="6"/>
        <v>7380000</v>
      </c>
    </row>
    <row r="434" spans="1:6" ht="18" hidden="1" x14ac:dyDescent="0.35">
      <c r="A434" s="2" t="s">
        <v>39</v>
      </c>
      <c r="B434" s="6" t="s">
        <v>134</v>
      </c>
      <c r="C434" s="6" t="s">
        <v>108</v>
      </c>
      <c r="D434" s="2">
        <v>21</v>
      </c>
      <c r="E434" s="5">
        <f>IF(C434="", "", IFERROR(VLOOKUP(C434, Price_List!A:D, IF(Dashboard!$B$9="樂觀(Snipe)", 3, IF(Dashboard!$B$9="悲觀(Panic)", 4, 2)), 0), 0))</f>
        <v>189998</v>
      </c>
      <c r="F434" s="5">
        <f t="shared" si="6"/>
        <v>3989958</v>
      </c>
    </row>
    <row r="435" spans="1:6" ht="18" hidden="1" x14ac:dyDescent="0.35">
      <c r="A435" s="2" t="s">
        <v>40</v>
      </c>
      <c r="B435" s="6" t="s">
        <v>126</v>
      </c>
      <c r="C435" s="6" t="s">
        <v>127</v>
      </c>
      <c r="D435" s="2">
        <v>2</v>
      </c>
      <c r="E435" s="5">
        <f>IF(C435="", "", IFERROR(VLOOKUP(C435, Price_List!A:D, IF(Dashboard!$B$9="樂觀(Snipe)", 3, IF(Dashboard!$B$9="悲觀(Panic)", 4, 2)), 0), 0))</f>
        <v>2866664</v>
      </c>
      <c r="F435" s="5">
        <f t="shared" si="6"/>
        <v>5733328</v>
      </c>
    </row>
    <row r="436" spans="1:6" ht="18" hidden="1" x14ac:dyDescent="0.35">
      <c r="A436" s="2" t="s">
        <v>40</v>
      </c>
      <c r="B436" s="6" t="s">
        <v>126</v>
      </c>
      <c r="C436" s="6" t="s">
        <v>105</v>
      </c>
      <c r="D436" s="2">
        <v>9</v>
      </c>
      <c r="E436" s="5">
        <f>IF(C436="", "", IFERROR(VLOOKUP(C436, Price_List!A:D, IF(Dashboard!$B$9="樂觀(Snipe)", 3, IF(Dashboard!$B$9="悲觀(Panic)", 4, 2)), 0), 0))</f>
        <v>560000</v>
      </c>
      <c r="F436" s="5">
        <f t="shared" si="6"/>
        <v>5040000</v>
      </c>
    </row>
    <row r="437" spans="1:6" ht="18" hidden="1" x14ac:dyDescent="0.35">
      <c r="A437" s="2" t="s">
        <v>40</v>
      </c>
      <c r="B437" s="6" t="s">
        <v>126</v>
      </c>
      <c r="C437" s="6" t="s">
        <v>137</v>
      </c>
      <c r="D437" s="2">
        <v>29</v>
      </c>
      <c r="E437" s="5">
        <f>IF(C437="", "", IFERROR(VLOOKUP(C437, Price_List!A:D, IF(Dashboard!$B$9="樂觀(Snipe)", 3, IF(Dashboard!$B$9="悲觀(Panic)", 4, 2)), 0), 0))</f>
        <v>2500</v>
      </c>
      <c r="F437" s="5">
        <f t="shared" si="6"/>
        <v>72500</v>
      </c>
    </row>
    <row r="438" spans="1:6" ht="18" hidden="1" x14ac:dyDescent="0.35">
      <c r="A438" s="2" t="s">
        <v>40</v>
      </c>
      <c r="B438" s="6" t="s">
        <v>126</v>
      </c>
      <c r="C438" s="6" t="s">
        <v>106</v>
      </c>
      <c r="D438" s="2">
        <v>8</v>
      </c>
      <c r="E438" s="5">
        <f>IF(C438="", "", IFERROR(VLOOKUP(C438, Price_List!A:D, IF(Dashboard!$B$9="樂觀(Snipe)", 3, IF(Dashboard!$B$9="悲觀(Panic)", 4, 2)), 0), 0))</f>
        <v>2199999</v>
      </c>
      <c r="F438" s="5">
        <f t="shared" si="6"/>
        <v>17599992</v>
      </c>
    </row>
    <row r="439" spans="1:6" ht="18" hidden="1" x14ac:dyDescent="0.35">
      <c r="A439" s="2" t="s">
        <v>40</v>
      </c>
      <c r="B439" s="6" t="s">
        <v>126</v>
      </c>
      <c r="C439" s="6" t="s">
        <v>122</v>
      </c>
      <c r="D439" s="2">
        <v>14</v>
      </c>
      <c r="E439" s="5">
        <f>IF(C439="", "", IFERROR(VLOOKUP(C439, Price_List!A:D, IF(Dashboard!$B$9="樂觀(Snipe)", 3, IF(Dashboard!$B$9="悲觀(Panic)", 4, 2)), 0), 0))</f>
        <v>1650000</v>
      </c>
      <c r="F439" s="5">
        <f t="shared" si="6"/>
        <v>23100000</v>
      </c>
    </row>
    <row r="440" spans="1:6" ht="18" hidden="1" x14ac:dyDescent="0.35">
      <c r="A440" s="2" t="s">
        <v>40</v>
      </c>
      <c r="B440" s="6" t="s">
        <v>126</v>
      </c>
      <c r="C440" s="6" t="s">
        <v>107</v>
      </c>
      <c r="D440" s="2">
        <v>21</v>
      </c>
      <c r="E440" s="5">
        <f>IF(C440="", "", IFERROR(VLOOKUP(C440, Price_List!A:D, IF(Dashboard!$B$9="樂觀(Snipe)", 3, IF(Dashboard!$B$9="悲觀(Panic)", 4, 2)), 0), 0))</f>
        <v>205000</v>
      </c>
      <c r="F440" s="5">
        <f t="shared" si="6"/>
        <v>4305000</v>
      </c>
    </row>
    <row r="441" spans="1:6" ht="18" hidden="1" x14ac:dyDescent="0.35">
      <c r="A441" s="2" t="s">
        <v>40</v>
      </c>
      <c r="B441" s="6" t="s">
        <v>126</v>
      </c>
      <c r="C441" s="6" t="s">
        <v>108</v>
      </c>
      <c r="D441" s="2">
        <v>12</v>
      </c>
      <c r="E441" s="5">
        <f>IF(C441="", "", IFERROR(VLOOKUP(C441, Price_List!A:D, IF(Dashboard!$B$9="樂觀(Snipe)", 3, IF(Dashboard!$B$9="悲觀(Panic)", 4, 2)), 0), 0))</f>
        <v>189998</v>
      </c>
      <c r="F441" s="5">
        <f t="shared" si="6"/>
        <v>2279976</v>
      </c>
    </row>
    <row r="442" spans="1:6" ht="18" hidden="1" x14ac:dyDescent="0.35">
      <c r="A442" s="2" t="s">
        <v>40</v>
      </c>
      <c r="B442" s="6" t="s">
        <v>130</v>
      </c>
      <c r="C442" s="6" t="s">
        <v>129</v>
      </c>
      <c r="D442" s="2">
        <v>2</v>
      </c>
      <c r="E442" s="5">
        <f>IF(C442="", "", IFERROR(VLOOKUP(C442, Price_List!A:D, IF(Dashboard!$B$9="樂觀(Snipe)", 3, IF(Dashboard!$B$9="悲觀(Panic)", 4, 2)), 0), 0))</f>
        <v>3429999</v>
      </c>
      <c r="F442" s="5">
        <f t="shared" si="6"/>
        <v>6859998</v>
      </c>
    </row>
    <row r="443" spans="1:6" ht="18" hidden="1" x14ac:dyDescent="0.35">
      <c r="A443" s="2" t="s">
        <v>40</v>
      </c>
      <c r="B443" s="6" t="s">
        <v>130</v>
      </c>
      <c r="C443" s="6" t="s">
        <v>105</v>
      </c>
      <c r="D443" s="2">
        <v>9</v>
      </c>
      <c r="E443" s="5">
        <f>IF(C443="", "", IFERROR(VLOOKUP(C443, Price_List!A:D, IF(Dashboard!$B$9="樂觀(Snipe)", 3, IF(Dashboard!$B$9="悲觀(Panic)", 4, 2)), 0), 0))</f>
        <v>560000</v>
      </c>
      <c r="F443" s="5">
        <f t="shared" si="6"/>
        <v>5040000</v>
      </c>
    </row>
    <row r="444" spans="1:6" ht="18" hidden="1" x14ac:dyDescent="0.35">
      <c r="A444" s="2" t="s">
        <v>40</v>
      </c>
      <c r="B444" s="6" t="s">
        <v>130</v>
      </c>
      <c r="C444" s="6" t="s">
        <v>137</v>
      </c>
      <c r="D444" s="2">
        <v>29</v>
      </c>
      <c r="E444" s="5">
        <f>IF(C444="", "", IFERROR(VLOOKUP(C444, Price_List!A:D, IF(Dashboard!$B$9="樂觀(Snipe)", 3, IF(Dashboard!$B$9="悲觀(Panic)", 4, 2)), 0), 0))</f>
        <v>2500</v>
      </c>
      <c r="F444" s="5">
        <f t="shared" si="6"/>
        <v>72500</v>
      </c>
    </row>
    <row r="445" spans="1:6" ht="18" hidden="1" x14ac:dyDescent="0.35">
      <c r="A445" s="2" t="s">
        <v>40</v>
      </c>
      <c r="B445" s="6" t="s">
        <v>130</v>
      </c>
      <c r="C445" s="6" t="s">
        <v>106</v>
      </c>
      <c r="D445" s="2">
        <v>8</v>
      </c>
      <c r="E445" s="5">
        <f>IF(C445="", "", IFERROR(VLOOKUP(C445, Price_List!A:D, IF(Dashboard!$B$9="樂觀(Snipe)", 3, IF(Dashboard!$B$9="悲觀(Panic)", 4, 2)), 0), 0))</f>
        <v>2199999</v>
      </c>
      <c r="F445" s="5">
        <f t="shared" si="6"/>
        <v>17599992</v>
      </c>
    </row>
    <row r="446" spans="1:6" ht="18" hidden="1" x14ac:dyDescent="0.35">
      <c r="A446" s="2" t="s">
        <v>40</v>
      </c>
      <c r="B446" s="6" t="s">
        <v>130</v>
      </c>
      <c r="C446" s="6" t="s">
        <v>122</v>
      </c>
      <c r="D446" s="2">
        <v>14</v>
      </c>
      <c r="E446" s="5">
        <f>IF(C446="", "", IFERROR(VLOOKUP(C446, Price_List!A:D, IF(Dashboard!$B$9="樂觀(Snipe)", 3, IF(Dashboard!$B$9="悲觀(Panic)", 4, 2)), 0), 0))</f>
        <v>1650000</v>
      </c>
      <c r="F446" s="5">
        <f t="shared" si="6"/>
        <v>23100000</v>
      </c>
    </row>
    <row r="447" spans="1:6" ht="18" hidden="1" x14ac:dyDescent="0.35">
      <c r="A447" s="2" t="s">
        <v>40</v>
      </c>
      <c r="B447" s="6" t="s">
        <v>130</v>
      </c>
      <c r="C447" s="6" t="s">
        <v>107</v>
      </c>
      <c r="D447" s="2">
        <v>21</v>
      </c>
      <c r="E447" s="5">
        <f>IF(C447="", "", IFERROR(VLOOKUP(C447, Price_List!A:D, IF(Dashboard!$B$9="樂觀(Snipe)", 3, IF(Dashboard!$B$9="悲觀(Panic)", 4, 2)), 0), 0))</f>
        <v>205000</v>
      </c>
      <c r="F447" s="5">
        <f t="shared" si="6"/>
        <v>4305000</v>
      </c>
    </row>
    <row r="448" spans="1:6" ht="18" hidden="1" x14ac:dyDescent="0.35">
      <c r="A448" s="2" t="s">
        <v>40</v>
      </c>
      <c r="B448" s="6" t="s">
        <v>130</v>
      </c>
      <c r="C448" s="6" t="s">
        <v>108</v>
      </c>
      <c r="D448" s="2">
        <v>12</v>
      </c>
      <c r="E448" s="5">
        <f>IF(C448="", "", IFERROR(VLOOKUP(C448, Price_List!A:D, IF(Dashboard!$B$9="樂觀(Snipe)", 3, IF(Dashboard!$B$9="悲觀(Panic)", 4, 2)), 0), 0))</f>
        <v>189998</v>
      </c>
      <c r="F448" s="5">
        <f t="shared" si="6"/>
        <v>2279976</v>
      </c>
    </row>
    <row r="449" spans="1:6" ht="18" hidden="1" x14ac:dyDescent="0.35">
      <c r="A449" s="2" t="s">
        <v>40</v>
      </c>
      <c r="B449" s="6" t="s">
        <v>131</v>
      </c>
      <c r="C449" s="6" t="s">
        <v>132</v>
      </c>
      <c r="D449" s="2">
        <v>2</v>
      </c>
      <c r="E449" s="5">
        <f>IF(C449="", "", IFERROR(VLOOKUP(C449, Price_List!A:D, IF(Dashboard!$B$9="樂觀(Snipe)", 3, IF(Dashboard!$B$9="悲觀(Panic)", 4, 2)), 0), 0))</f>
        <v>3188800</v>
      </c>
      <c r="F449" s="5">
        <f t="shared" si="6"/>
        <v>6377600</v>
      </c>
    </row>
    <row r="450" spans="1:6" ht="18" hidden="1" x14ac:dyDescent="0.35">
      <c r="A450" s="2" t="s">
        <v>40</v>
      </c>
      <c r="B450" s="6" t="s">
        <v>131</v>
      </c>
      <c r="C450" s="6" t="s">
        <v>105</v>
      </c>
      <c r="D450" s="2">
        <v>9</v>
      </c>
      <c r="E450" s="5">
        <f>IF(C450="", "", IFERROR(VLOOKUP(C450, Price_List!A:D, IF(Dashboard!$B$9="樂觀(Snipe)", 3, IF(Dashboard!$B$9="悲觀(Panic)", 4, 2)), 0), 0))</f>
        <v>560000</v>
      </c>
      <c r="F450" s="5">
        <f t="shared" ref="F450:F513" si="7">IF(C450="", "", D450*E450)</f>
        <v>5040000</v>
      </c>
    </row>
    <row r="451" spans="1:6" ht="18" hidden="1" x14ac:dyDescent="0.35">
      <c r="A451" s="2" t="s">
        <v>40</v>
      </c>
      <c r="B451" s="6" t="s">
        <v>131</v>
      </c>
      <c r="C451" s="6" t="s">
        <v>137</v>
      </c>
      <c r="D451" s="2">
        <v>29</v>
      </c>
      <c r="E451" s="5">
        <f>IF(C451="", "", IFERROR(VLOOKUP(C451, Price_List!A:D, IF(Dashboard!$B$9="樂觀(Snipe)", 3, IF(Dashboard!$B$9="悲觀(Panic)", 4, 2)), 0), 0))</f>
        <v>2500</v>
      </c>
      <c r="F451" s="5">
        <f t="shared" si="7"/>
        <v>72500</v>
      </c>
    </row>
    <row r="452" spans="1:6" ht="18" hidden="1" x14ac:dyDescent="0.35">
      <c r="A452" s="2" t="s">
        <v>40</v>
      </c>
      <c r="B452" s="6" t="s">
        <v>131</v>
      </c>
      <c r="C452" s="6" t="s">
        <v>106</v>
      </c>
      <c r="D452" s="2">
        <v>8</v>
      </c>
      <c r="E452" s="5">
        <f>IF(C452="", "", IFERROR(VLOOKUP(C452, Price_List!A:D, IF(Dashboard!$B$9="樂觀(Snipe)", 3, IF(Dashboard!$B$9="悲觀(Panic)", 4, 2)), 0), 0))</f>
        <v>2199999</v>
      </c>
      <c r="F452" s="5">
        <f t="shared" si="7"/>
        <v>17599992</v>
      </c>
    </row>
    <row r="453" spans="1:6" ht="18" hidden="1" x14ac:dyDescent="0.35">
      <c r="A453" s="2" t="s">
        <v>40</v>
      </c>
      <c r="B453" s="6" t="s">
        <v>131</v>
      </c>
      <c r="C453" s="6" t="s">
        <v>122</v>
      </c>
      <c r="D453" s="2">
        <v>14</v>
      </c>
      <c r="E453" s="5">
        <f>IF(C453="", "", IFERROR(VLOOKUP(C453, Price_List!A:D, IF(Dashboard!$B$9="樂觀(Snipe)", 3, IF(Dashboard!$B$9="悲觀(Panic)", 4, 2)), 0), 0))</f>
        <v>1650000</v>
      </c>
      <c r="F453" s="5">
        <f t="shared" si="7"/>
        <v>23100000</v>
      </c>
    </row>
    <row r="454" spans="1:6" ht="18" hidden="1" x14ac:dyDescent="0.35">
      <c r="A454" s="2" t="s">
        <v>40</v>
      </c>
      <c r="B454" s="6" t="s">
        <v>131</v>
      </c>
      <c r="C454" s="6" t="s">
        <v>107</v>
      </c>
      <c r="D454" s="2">
        <v>21</v>
      </c>
      <c r="E454" s="5">
        <f>IF(C454="", "", IFERROR(VLOOKUP(C454, Price_List!A:D, IF(Dashboard!$B$9="樂觀(Snipe)", 3, IF(Dashboard!$B$9="悲觀(Panic)", 4, 2)), 0), 0))</f>
        <v>205000</v>
      </c>
      <c r="F454" s="5">
        <f t="shared" si="7"/>
        <v>4305000</v>
      </c>
    </row>
    <row r="455" spans="1:6" ht="18" hidden="1" x14ac:dyDescent="0.35">
      <c r="A455" s="2" t="s">
        <v>40</v>
      </c>
      <c r="B455" s="6" t="s">
        <v>131</v>
      </c>
      <c r="C455" s="6" t="s">
        <v>108</v>
      </c>
      <c r="D455" s="2">
        <v>12</v>
      </c>
      <c r="E455" s="5">
        <f>IF(C455="", "", IFERROR(VLOOKUP(C455, Price_List!A:D, IF(Dashboard!$B$9="樂觀(Snipe)", 3, IF(Dashboard!$B$9="悲觀(Panic)", 4, 2)), 0), 0))</f>
        <v>189998</v>
      </c>
      <c r="F455" s="5">
        <f t="shared" si="7"/>
        <v>2279976</v>
      </c>
    </row>
    <row r="456" spans="1:6" ht="18" hidden="1" x14ac:dyDescent="0.35">
      <c r="A456" s="2" t="s">
        <v>40</v>
      </c>
      <c r="B456" s="6" t="s">
        <v>134</v>
      </c>
      <c r="C456" s="6" t="s">
        <v>133</v>
      </c>
      <c r="D456" s="2">
        <v>2</v>
      </c>
      <c r="E456" s="5">
        <f>IF(C456="", "", IFERROR(VLOOKUP(C456, Price_List!A:D, IF(Dashboard!$B$9="樂觀(Snipe)", 3, IF(Dashboard!$B$9="悲觀(Panic)", 4, 2)), 0), 0))</f>
        <v>3149990</v>
      </c>
      <c r="F456" s="5">
        <f t="shared" si="7"/>
        <v>6299980</v>
      </c>
    </row>
    <row r="457" spans="1:6" ht="18" hidden="1" x14ac:dyDescent="0.35">
      <c r="A457" s="2" t="s">
        <v>40</v>
      </c>
      <c r="B457" s="6" t="s">
        <v>134</v>
      </c>
      <c r="C457" s="6" t="s">
        <v>105</v>
      </c>
      <c r="D457" s="2">
        <v>9</v>
      </c>
      <c r="E457" s="5">
        <f>IF(C457="", "", IFERROR(VLOOKUP(C457, Price_List!A:D, IF(Dashboard!$B$9="樂觀(Snipe)", 3, IF(Dashboard!$B$9="悲觀(Panic)", 4, 2)), 0), 0))</f>
        <v>560000</v>
      </c>
      <c r="F457" s="5">
        <f t="shared" si="7"/>
        <v>5040000</v>
      </c>
    </row>
    <row r="458" spans="1:6" ht="18" hidden="1" x14ac:dyDescent="0.35">
      <c r="A458" s="2" t="s">
        <v>40</v>
      </c>
      <c r="B458" s="6" t="s">
        <v>134</v>
      </c>
      <c r="C458" s="6" t="s">
        <v>137</v>
      </c>
      <c r="D458" s="2">
        <v>29</v>
      </c>
      <c r="E458" s="5">
        <f>IF(C458="", "", IFERROR(VLOOKUP(C458, Price_List!A:D, IF(Dashboard!$B$9="樂觀(Snipe)", 3, IF(Dashboard!$B$9="悲觀(Panic)", 4, 2)), 0), 0))</f>
        <v>2500</v>
      </c>
      <c r="F458" s="5">
        <f t="shared" si="7"/>
        <v>72500</v>
      </c>
    </row>
    <row r="459" spans="1:6" ht="18" hidden="1" x14ac:dyDescent="0.35">
      <c r="A459" s="2" t="s">
        <v>40</v>
      </c>
      <c r="B459" s="6" t="s">
        <v>134</v>
      </c>
      <c r="C459" s="6" t="s">
        <v>106</v>
      </c>
      <c r="D459" s="2">
        <v>8</v>
      </c>
      <c r="E459" s="5">
        <f>IF(C459="", "", IFERROR(VLOOKUP(C459, Price_List!A:D, IF(Dashboard!$B$9="樂觀(Snipe)", 3, IF(Dashboard!$B$9="悲觀(Panic)", 4, 2)), 0), 0))</f>
        <v>2199999</v>
      </c>
      <c r="F459" s="5">
        <f t="shared" si="7"/>
        <v>17599992</v>
      </c>
    </row>
    <row r="460" spans="1:6" ht="18" hidden="1" x14ac:dyDescent="0.35">
      <c r="A460" s="2" t="s">
        <v>40</v>
      </c>
      <c r="B460" s="6" t="s">
        <v>134</v>
      </c>
      <c r="C460" s="6" t="s">
        <v>122</v>
      </c>
      <c r="D460" s="2">
        <v>14</v>
      </c>
      <c r="E460" s="5">
        <f>IF(C460="", "", IFERROR(VLOOKUP(C460, Price_List!A:D, IF(Dashboard!$B$9="樂觀(Snipe)", 3, IF(Dashboard!$B$9="悲觀(Panic)", 4, 2)), 0), 0))</f>
        <v>1650000</v>
      </c>
      <c r="F460" s="5">
        <f t="shared" si="7"/>
        <v>23100000</v>
      </c>
    </row>
    <row r="461" spans="1:6" ht="18" hidden="1" x14ac:dyDescent="0.35">
      <c r="A461" s="2" t="s">
        <v>40</v>
      </c>
      <c r="B461" s="6" t="s">
        <v>134</v>
      </c>
      <c r="C461" s="6" t="s">
        <v>107</v>
      </c>
      <c r="D461" s="2">
        <v>21</v>
      </c>
      <c r="E461" s="5">
        <f>IF(C461="", "", IFERROR(VLOOKUP(C461, Price_List!A:D, IF(Dashboard!$B$9="樂觀(Snipe)", 3, IF(Dashboard!$B$9="悲觀(Panic)", 4, 2)), 0), 0))</f>
        <v>205000</v>
      </c>
      <c r="F461" s="5">
        <f t="shared" si="7"/>
        <v>4305000</v>
      </c>
    </row>
    <row r="462" spans="1:6" ht="18" hidden="1" x14ac:dyDescent="0.35">
      <c r="A462" s="2" t="s">
        <v>40</v>
      </c>
      <c r="B462" s="6" t="s">
        <v>134</v>
      </c>
      <c r="C462" s="6" t="s">
        <v>108</v>
      </c>
      <c r="D462" s="2">
        <v>12</v>
      </c>
      <c r="E462" s="5">
        <f>IF(C462="", "", IFERROR(VLOOKUP(C462, Price_List!A:D, IF(Dashboard!$B$9="樂觀(Snipe)", 3, IF(Dashboard!$B$9="悲觀(Panic)", 4, 2)), 0), 0))</f>
        <v>189998</v>
      </c>
      <c r="F462" s="5">
        <f t="shared" si="7"/>
        <v>2279976</v>
      </c>
    </row>
    <row r="463" spans="1:6" ht="18" hidden="1" x14ac:dyDescent="0.35">
      <c r="A463" s="2" t="s">
        <v>40</v>
      </c>
      <c r="B463" s="6" t="s">
        <v>135</v>
      </c>
      <c r="C463" s="6" t="s">
        <v>136</v>
      </c>
      <c r="D463" s="2">
        <v>2</v>
      </c>
      <c r="E463" s="5">
        <f>IF(C463="", "", IFERROR(VLOOKUP(C463, Price_List!A:D, IF(Dashboard!$B$9="樂觀(Snipe)", 3, IF(Dashboard!$B$9="悲觀(Panic)", 4, 2)), 0), 0))</f>
        <v>2599988</v>
      </c>
      <c r="F463" s="5">
        <f t="shared" si="7"/>
        <v>5199976</v>
      </c>
    </row>
    <row r="464" spans="1:6" ht="18" hidden="1" x14ac:dyDescent="0.35">
      <c r="A464" s="2" t="s">
        <v>40</v>
      </c>
      <c r="B464" s="6" t="s">
        <v>135</v>
      </c>
      <c r="C464" s="6" t="s">
        <v>105</v>
      </c>
      <c r="D464" s="2">
        <v>9</v>
      </c>
      <c r="E464" s="5">
        <f>IF(C464="", "", IFERROR(VLOOKUP(C464, Price_List!A:D, IF(Dashboard!$B$9="樂觀(Snipe)", 3, IF(Dashboard!$B$9="悲觀(Panic)", 4, 2)), 0), 0))</f>
        <v>560000</v>
      </c>
      <c r="F464" s="5">
        <f t="shared" si="7"/>
        <v>5040000</v>
      </c>
    </row>
    <row r="465" spans="1:6" ht="18" hidden="1" x14ac:dyDescent="0.35">
      <c r="A465" s="2" t="s">
        <v>40</v>
      </c>
      <c r="B465" s="6" t="s">
        <v>135</v>
      </c>
      <c r="C465" s="6" t="s">
        <v>137</v>
      </c>
      <c r="D465" s="2">
        <v>29</v>
      </c>
      <c r="E465" s="5">
        <f>IF(C465="", "", IFERROR(VLOOKUP(C465, Price_List!A:D, IF(Dashboard!$B$9="樂觀(Snipe)", 3, IF(Dashboard!$B$9="悲觀(Panic)", 4, 2)), 0), 0))</f>
        <v>2500</v>
      </c>
      <c r="F465" s="5">
        <f t="shared" si="7"/>
        <v>72500</v>
      </c>
    </row>
    <row r="466" spans="1:6" ht="18" hidden="1" x14ac:dyDescent="0.35">
      <c r="A466" s="2" t="s">
        <v>40</v>
      </c>
      <c r="B466" s="6" t="s">
        <v>135</v>
      </c>
      <c r="C466" s="6" t="s">
        <v>106</v>
      </c>
      <c r="D466" s="2">
        <v>8</v>
      </c>
      <c r="E466" s="5">
        <f>IF(C466="", "", IFERROR(VLOOKUP(C466, Price_List!A:D, IF(Dashboard!$B$9="樂觀(Snipe)", 3, IF(Dashboard!$B$9="悲觀(Panic)", 4, 2)), 0), 0))</f>
        <v>2199999</v>
      </c>
      <c r="F466" s="5">
        <f t="shared" si="7"/>
        <v>17599992</v>
      </c>
    </row>
    <row r="467" spans="1:6" ht="18" hidden="1" x14ac:dyDescent="0.35">
      <c r="A467" s="2" t="s">
        <v>40</v>
      </c>
      <c r="B467" s="6" t="s">
        <v>135</v>
      </c>
      <c r="C467" s="6" t="s">
        <v>122</v>
      </c>
      <c r="D467" s="2">
        <v>14</v>
      </c>
      <c r="E467" s="5">
        <f>IF(C467="", "", IFERROR(VLOOKUP(C467, Price_List!A:D, IF(Dashboard!$B$9="樂觀(Snipe)", 3, IF(Dashboard!$B$9="悲觀(Panic)", 4, 2)), 0), 0))</f>
        <v>1650000</v>
      </c>
      <c r="F467" s="5">
        <f t="shared" si="7"/>
        <v>23100000</v>
      </c>
    </row>
    <row r="468" spans="1:6" ht="18" hidden="1" x14ac:dyDescent="0.35">
      <c r="A468" s="2" t="s">
        <v>40</v>
      </c>
      <c r="B468" s="6" t="s">
        <v>135</v>
      </c>
      <c r="C468" s="6" t="s">
        <v>107</v>
      </c>
      <c r="D468" s="2">
        <v>21</v>
      </c>
      <c r="E468" s="5">
        <f>IF(C468="", "", IFERROR(VLOOKUP(C468, Price_List!A:D, IF(Dashboard!$B$9="樂觀(Snipe)", 3, IF(Dashboard!$B$9="悲觀(Panic)", 4, 2)), 0), 0))</f>
        <v>205000</v>
      </c>
      <c r="F468" s="5">
        <f t="shared" si="7"/>
        <v>4305000</v>
      </c>
    </row>
    <row r="469" spans="1:6" ht="18" hidden="1" x14ac:dyDescent="0.35">
      <c r="A469" s="2" t="s">
        <v>40</v>
      </c>
      <c r="B469" s="6" t="s">
        <v>135</v>
      </c>
      <c r="C469" s="6" t="s">
        <v>108</v>
      </c>
      <c r="D469" s="2">
        <v>12</v>
      </c>
      <c r="E469" s="5">
        <f>IF(C469="", "", IFERROR(VLOOKUP(C469, Price_List!A:D, IF(Dashboard!$B$9="樂觀(Snipe)", 3, IF(Dashboard!$B$9="悲觀(Panic)", 4, 2)), 0), 0))</f>
        <v>189998</v>
      </c>
      <c r="F469" s="5">
        <f t="shared" si="7"/>
        <v>2279976</v>
      </c>
    </row>
    <row r="470" spans="1:6" ht="18" hidden="1" x14ac:dyDescent="0.35">
      <c r="A470" s="2" t="s">
        <v>40</v>
      </c>
      <c r="B470" s="6" t="s">
        <v>139</v>
      </c>
      <c r="C470" s="6" t="s">
        <v>158</v>
      </c>
      <c r="D470" s="2">
        <v>2</v>
      </c>
      <c r="E470" s="5">
        <f>IF(C470="", "", IFERROR(VLOOKUP(C470, Price_List!A:D, IF(Dashboard!$B$9="樂觀(Snipe)", 3, IF(Dashboard!$B$9="悲觀(Panic)", 4, 2)), 0), 0))</f>
        <v>0</v>
      </c>
      <c r="F470" s="5">
        <f t="shared" si="7"/>
        <v>0</v>
      </c>
    </row>
    <row r="471" spans="1:6" ht="18" hidden="1" x14ac:dyDescent="0.35">
      <c r="A471" s="2" t="s">
        <v>40</v>
      </c>
      <c r="B471" s="6" t="s">
        <v>139</v>
      </c>
      <c r="C471" s="6" t="s">
        <v>105</v>
      </c>
      <c r="D471" s="2">
        <v>9</v>
      </c>
      <c r="E471" s="5">
        <f>IF(C471="", "", IFERROR(VLOOKUP(C471, Price_List!A:D, IF(Dashboard!$B$9="樂觀(Snipe)", 3, IF(Dashboard!$B$9="悲觀(Panic)", 4, 2)), 0), 0))</f>
        <v>560000</v>
      </c>
      <c r="F471" s="5">
        <f t="shared" si="7"/>
        <v>5040000</v>
      </c>
    </row>
    <row r="472" spans="1:6" ht="18" hidden="1" x14ac:dyDescent="0.35">
      <c r="A472" s="2" t="s">
        <v>40</v>
      </c>
      <c r="B472" s="6" t="s">
        <v>139</v>
      </c>
      <c r="C472" s="6" t="s">
        <v>96</v>
      </c>
      <c r="D472" s="2">
        <v>29</v>
      </c>
      <c r="E472" s="5">
        <f>IF(C472="", "", IFERROR(VLOOKUP(C472, Price_List!A:D, IF(Dashboard!$B$9="樂觀(Snipe)", 3, IF(Dashboard!$B$9="悲觀(Panic)", 4, 2)), 0), 0))</f>
        <v>5984</v>
      </c>
      <c r="F472" s="5">
        <f t="shared" si="7"/>
        <v>173536</v>
      </c>
    </row>
    <row r="473" spans="1:6" ht="18" hidden="1" x14ac:dyDescent="0.35">
      <c r="A473" s="2" t="s">
        <v>40</v>
      </c>
      <c r="B473" s="6" t="s">
        <v>139</v>
      </c>
      <c r="C473" s="6" t="s">
        <v>106</v>
      </c>
      <c r="D473" s="2">
        <v>8</v>
      </c>
      <c r="E473" s="5">
        <f>IF(C473="", "", IFERROR(VLOOKUP(C473, Price_List!A:D, IF(Dashboard!$B$9="樂觀(Snipe)", 3, IF(Dashboard!$B$9="悲觀(Panic)", 4, 2)), 0), 0))</f>
        <v>2199999</v>
      </c>
      <c r="F473" s="5">
        <f t="shared" si="7"/>
        <v>17599992</v>
      </c>
    </row>
    <row r="474" spans="1:6" ht="18" hidden="1" x14ac:dyDescent="0.35">
      <c r="A474" s="2" t="s">
        <v>40</v>
      </c>
      <c r="B474" s="6" t="s">
        <v>139</v>
      </c>
      <c r="C474" s="6" t="s">
        <v>122</v>
      </c>
      <c r="D474" s="2">
        <v>14</v>
      </c>
      <c r="E474" s="5">
        <f>IF(C474="", "", IFERROR(VLOOKUP(C474, Price_List!A:D, IF(Dashboard!$B$9="樂觀(Snipe)", 3, IF(Dashboard!$B$9="悲觀(Panic)", 4, 2)), 0), 0))</f>
        <v>1650000</v>
      </c>
      <c r="F474" s="5">
        <f t="shared" si="7"/>
        <v>23100000</v>
      </c>
    </row>
    <row r="475" spans="1:6" ht="18" hidden="1" x14ac:dyDescent="0.35">
      <c r="A475" s="2" t="s">
        <v>40</v>
      </c>
      <c r="B475" s="6" t="s">
        <v>139</v>
      </c>
      <c r="C475" s="6" t="s">
        <v>144</v>
      </c>
      <c r="D475" s="2">
        <v>21</v>
      </c>
      <c r="E475" s="5">
        <f>IF(C475="", "", IFERROR(VLOOKUP(C475, Price_List!A:D, IF(Dashboard!$B$9="樂觀(Snipe)", 3, IF(Dashboard!$B$9="悲觀(Panic)", 4, 2)), 0), 0))</f>
        <v>188000</v>
      </c>
      <c r="F475" s="5">
        <f t="shared" si="7"/>
        <v>3948000</v>
      </c>
    </row>
    <row r="476" spans="1:6" ht="18" hidden="1" x14ac:dyDescent="0.35">
      <c r="A476" s="2" t="s">
        <v>40</v>
      </c>
      <c r="B476" s="6" t="s">
        <v>139</v>
      </c>
      <c r="C476" s="6" t="s">
        <v>108</v>
      </c>
      <c r="D476" s="2">
        <v>12</v>
      </c>
      <c r="E476" s="5">
        <f>IF(C476="", "", IFERROR(VLOOKUP(C476, Price_List!A:D, IF(Dashboard!$B$9="樂觀(Snipe)", 3, IF(Dashboard!$B$9="悲觀(Panic)", 4, 2)), 0), 0))</f>
        <v>189998</v>
      </c>
      <c r="F476" s="5">
        <f t="shared" si="7"/>
        <v>2279976</v>
      </c>
    </row>
    <row r="477" spans="1:6" ht="18" hidden="1" x14ac:dyDescent="0.35">
      <c r="A477" s="2" t="s">
        <v>40</v>
      </c>
      <c r="B477" s="6" t="s">
        <v>145</v>
      </c>
      <c r="C477" s="6" t="s">
        <v>146</v>
      </c>
      <c r="D477" s="2">
        <v>2</v>
      </c>
      <c r="E477" s="5">
        <f>IF(C477="", "", IFERROR(VLOOKUP(C477, Price_List!A:D, IF(Dashboard!$B$9="樂觀(Snipe)", 3, IF(Dashboard!$B$9="悲觀(Panic)", 4, 2)), 0), 0))</f>
        <v>2749000</v>
      </c>
      <c r="F477" s="5">
        <f t="shared" si="7"/>
        <v>5498000</v>
      </c>
    </row>
    <row r="478" spans="1:6" ht="18" hidden="1" x14ac:dyDescent="0.35">
      <c r="A478" s="2" t="s">
        <v>40</v>
      </c>
      <c r="B478" s="6" t="s">
        <v>145</v>
      </c>
      <c r="C478" s="6" t="s">
        <v>105</v>
      </c>
      <c r="D478" s="2">
        <v>6</v>
      </c>
      <c r="E478" s="5">
        <f>IF(C478="", "", IFERROR(VLOOKUP(C478, Price_List!A:D, IF(Dashboard!$B$9="樂觀(Snipe)", 3, IF(Dashboard!$B$9="悲觀(Panic)", 4, 2)), 0), 0))</f>
        <v>560000</v>
      </c>
      <c r="F478" s="5">
        <f t="shared" si="7"/>
        <v>3360000</v>
      </c>
    </row>
    <row r="479" spans="1:6" ht="18" hidden="1" x14ac:dyDescent="0.35">
      <c r="A479" s="2" t="s">
        <v>40</v>
      </c>
      <c r="B479" s="6" t="s">
        <v>145</v>
      </c>
      <c r="C479" s="6" t="s">
        <v>96</v>
      </c>
      <c r="D479" s="2">
        <v>19</v>
      </c>
      <c r="E479" s="5">
        <f>IF(C479="", "", IFERROR(VLOOKUP(C479, Price_List!A:D, IF(Dashboard!$B$9="樂觀(Snipe)", 3, IF(Dashboard!$B$9="悲觀(Panic)", 4, 2)), 0), 0))</f>
        <v>5984</v>
      </c>
      <c r="F479" s="5">
        <f t="shared" si="7"/>
        <v>113696</v>
      </c>
    </row>
    <row r="480" spans="1:6" ht="18" hidden="1" x14ac:dyDescent="0.35">
      <c r="A480" s="2" t="s">
        <v>40</v>
      </c>
      <c r="B480" s="6" t="s">
        <v>145</v>
      </c>
      <c r="C480" s="6" t="s">
        <v>106</v>
      </c>
      <c r="D480" s="2">
        <v>5</v>
      </c>
      <c r="E480" s="5">
        <f>IF(C480="", "", IFERROR(VLOOKUP(C480, Price_List!A:D, IF(Dashboard!$B$9="樂觀(Snipe)", 3, IF(Dashboard!$B$9="悲觀(Panic)", 4, 2)), 0), 0))</f>
        <v>2199999</v>
      </c>
      <c r="F480" s="5">
        <f t="shared" si="7"/>
        <v>10999995</v>
      </c>
    </row>
    <row r="481" spans="1:6" ht="18" hidden="1" x14ac:dyDescent="0.35">
      <c r="A481" s="2" t="s">
        <v>40</v>
      </c>
      <c r="B481" s="6" t="s">
        <v>145</v>
      </c>
      <c r="C481" s="6" t="s">
        <v>122</v>
      </c>
      <c r="D481" s="2">
        <v>9</v>
      </c>
      <c r="E481" s="5">
        <f>IF(C481="", "", IFERROR(VLOOKUP(C481, Price_List!A:D, IF(Dashboard!$B$9="樂觀(Snipe)", 3, IF(Dashboard!$B$9="悲觀(Panic)", 4, 2)), 0), 0))</f>
        <v>1650000</v>
      </c>
      <c r="F481" s="5">
        <f t="shared" si="7"/>
        <v>14850000</v>
      </c>
    </row>
    <row r="482" spans="1:6" ht="18" hidden="1" x14ac:dyDescent="0.35">
      <c r="A482" s="2" t="s">
        <v>40</v>
      </c>
      <c r="B482" s="6" t="s">
        <v>145</v>
      </c>
      <c r="C482" s="6" t="s">
        <v>147</v>
      </c>
      <c r="D482" s="2">
        <v>14</v>
      </c>
      <c r="E482" s="5">
        <f>IF(C482="", "", IFERROR(VLOOKUP(C482, Price_List!A:D, IF(Dashboard!$B$9="樂觀(Snipe)", 3, IF(Dashboard!$B$9="悲觀(Panic)", 4, 2)), 0), 0))</f>
        <v>195497</v>
      </c>
      <c r="F482" s="5">
        <f t="shared" si="7"/>
        <v>2736958</v>
      </c>
    </row>
    <row r="483" spans="1:6" ht="18" hidden="1" x14ac:dyDescent="0.35">
      <c r="A483" s="2" t="s">
        <v>40</v>
      </c>
      <c r="B483" s="6" t="s">
        <v>145</v>
      </c>
      <c r="C483" s="6" t="s">
        <v>108</v>
      </c>
      <c r="D483" s="2">
        <v>7</v>
      </c>
      <c r="E483" s="5">
        <f>IF(C483="", "", IFERROR(VLOOKUP(C483, Price_List!A:D, IF(Dashboard!$B$9="樂觀(Snipe)", 3, IF(Dashboard!$B$9="悲觀(Panic)", 4, 2)), 0), 0))</f>
        <v>189998</v>
      </c>
      <c r="F483" s="5">
        <f t="shared" si="7"/>
        <v>1329986</v>
      </c>
    </row>
    <row r="484" spans="1:6" ht="18" hidden="1" x14ac:dyDescent="0.35">
      <c r="A484" s="2" t="s">
        <v>40</v>
      </c>
      <c r="B484" s="6" t="s">
        <v>148</v>
      </c>
      <c r="C484" s="6" t="s">
        <v>149</v>
      </c>
      <c r="D484" s="2">
        <v>2</v>
      </c>
      <c r="E484" s="5">
        <f>IF(C484="", "", IFERROR(VLOOKUP(C484, Price_List!A:D, IF(Dashboard!$B$9="樂觀(Snipe)", 3, IF(Dashboard!$B$9="悲觀(Panic)", 4, 2)), 0), 0))</f>
        <v>2350000</v>
      </c>
      <c r="F484" s="5">
        <f t="shared" si="7"/>
        <v>4700000</v>
      </c>
    </row>
    <row r="485" spans="1:6" ht="18" hidden="1" x14ac:dyDescent="0.35">
      <c r="A485" s="2" t="s">
        <v>40</v>
      </c>
      <c r="B485" s="6" t="s">
        <v>148</v>
      </c>
      <c r="C485" s="6" t="s">
        <v>105</v>
      </c>
      <c r="D485" s="2">
        <v>5</v>
      </c>
      <c r="E485" s="5">
        <f>IF(C485="", "", IFERROR(VLOOKUP(C485, Price_List!A:D, IF(Dashboard!$B$9="樂觀(Snipe)", 3, IF(Dashboard!$B$9="悲觀(Panic)", 4, 2)), 0), 0))</f>
        <v>560000</v>
      </c>
      <c r="F485" s="5">
        <f t="shared" si="7"/>
        <v>2800000</v>
      </c>
    </row>
    <row r="486" spans="1:6" ht="18" hidden="1" x14ac:dyDescent="0.35">
      <c r="A486" s="2" t="s">
        <v>40</v>
      </c>
      <c r="B486" s="6" t="s">
        <v>148</v>
      </c>
      <c r="C486" s="6" t="s">
        <v>96</v>
      </c>
      <c r="D486" s="2">
        <v>15</v>
      </c>
      <c r="E486" s="5">
        <f>IF(C486="", "", IFERROR(VLOOKUP(C486, Price_List!A:D, IF(Dashboard!$B$9="樂觀(Snipe)", 3, IF(Dashboard!$B$9="悲觀(Panic)", 4, 2)), 0), 0))</f>
        <v>5984</v>
      </c>
      <c r="F486" s="5">
        <f t="shared" si="7"/>
        <v>89760</v>
      </c>
    </row>
    <row r="487" spans="1:6" ht="18" hidden="1" x14ac:dyDescent="0.35">
      <c r="A487" s="2" t="s">
        <v>40</v>
      </c>
      <c r="B487" s="6" t="s">
        <v>148</v>
      </c>
      <c r="C487" s="6" t="s">
        <v>106</v>
      </c>
      <c r="D487" s="2">
        <v>4</v>
      </c>
      <c r="E487" s="5">
        <f>IF(C487="", "", IFERROR(VLOOKUP(C487, Price_List!A:D, IF(Dashboard!$B$9="樂觀(Snipe)", 3, IF(Dashboard!$B$9="悲觀(Panic)", 4, 2)), 0), 0))</f>
        <v>2199999</v>
      </c>
      <c r="F487" s="5">
        <f t="shared" si="7"/>
        <v>8799996</v>
      </c>
    </row>
    <row r="488" spans="1:6" ht="18" hidden="1" x14ac:dyDescent="0.35">
      <c r="A488" s="2" t="s">
        <v>40</v>
      </c>
      <c r="B488" s="6" t="s">
        <v>148</v>
      </c>
      <c r="C488" s="6" t="s">
        <v>122</v>
      </c>
      <c r="D488" s="2">
        <v>7</v>
      </c>
      <c r="E488" s="5">
        <f>IF(C488="", "", IFERROR(VLOOKUP(C488, Price_List!A:D, IF(Dashboard!$B$9="樂觀(Snipe)", 3, IF(Dashboard!$B$9="悲觀(Panic)", 4, 2)), 0), 0))</f>
        <v>1650000</v>
      </c>
      <c r="F488" s="5">
        <f t="shared" si="7"/>
        <v>11550000</v>
      </c>
    </row>
    <row r="489" spans="1:6" ht="18" hidden="1" x14ac:dyDescent="0.35">
      <c r="A489" s="2" t="s">
        <v>40</v>
      </c>
      <c r="B489" s="6" t="s">
        <v>148</v>
      </c>
      <c r="C489" s="6" t="s">
        <v>150</v>
      </c>
      <c r="D489" s="2">
        <v>11</v>
      </c>
      <c r="E489" s="5">
        <f>IF(C489="", "", IFERROR(VLOOKUP(C489, Price_List!A:D, IF(Dashboard!$B$9="樂觀(Snipe)", 3, IF(Dashboard!$B$9="悲觀(Panic)", 4, 2)), 0), 0))</f>
        <v>204890</v>
      </c>
      <c r="F489" s="5">
        <f t="shared" si="7"/>
        <v>2253790</v>
      </c>
    </row>
    <row r="490" spans="1:6" ht="18" hidden="1" x14ac:dyDescent="0.35">
      <c r="A490" s="2" t="s">
        <v>40</v>
      </c>
      <c r="B490" s="6" t="s">
        <v>148</v>
      </c>
      <c r="C490" s="6" t="s">
        <v>108</v>
      </c>
      <c r="D490" s="2">
        <v>6</v>
      </c>
      <c r="E490" s="5">
        <f>IF(C490="", "", IFERROR(VLOOKUP(C490, Price_List!A:D, IF(Dashboard!$B$9="樂觀(Snipe)", 3, IF(Dashboard!$B$9="悲觀(Panic)", 4, 2)), 0), 0))</f>
        <v>189998</v>
      </c>
      <c r="F490" s="5">
        <f t="shared" si="7"/>
        <v>1139988</v>
      </c>
    </row>
    <row r="491" spans="1:6" ht="18" hidden="1" x14ac:dyDescent="0.35">
      <c r="A491" s="2" t="s">
        <v>40</v>
      </c>
      <c r="B491" s="6" t="s">
        <v>151</v>
      </c>
      <c r="C491" s="6" t="s">
        <v>152</v>
      </c>
      <c r="D491" s="2">
        <v>2</v>
      </c>
      <c r="E491" s="5">
        <f>IF(C491="", "", IFERROR(VLOOKUP(C491, Price_List!A:D, IF(Dashboard!$B$9="樂觀(Snipe)", 3, IF(Dashboard!$B$9="悲觀(Panic)", 4, 2)), 0), 0))</f>
        <v>2118888</v>
      </c>
      <c r="F491" s="5">
        <f t="shared" si="7"/>
        <v>4237776</v>
      </c>
    </row>
    <row r="492" spans="1:6" ht="18" hidden="1" x14ac:dyDescent="0.35">
      <c r="A492" s="2" t="s">
        <v>40</v>
      </c>
      <c r="B492" s="6" t="s">
        <v>151</v>
      </c>
      <c r="C492" s="6" t="s">
        <v>105</v>
      </c>
      <c r="D492" s="2">
        <v>4</v>
      </c>
      <c r="E492" s="5">
        <f>IF(C492="", "", IFERROR(VLOOKUP(C492, Price_List!A:D, IF(Dashboard!$B$9="樂觀(Snipe)", 3, IF(Dashboard!$B$9="悲觀(Panic)", 4, 2)), 0), 0))</f>
        <v>560000</v>
      </c>
      <c r="F492" s="5">
        <f t="shared" si="7"/>
        <v>2240000</v>
      </c>
    </row>
    <row r="493" spans="1:6" ht="18" hidden="1" x14ac:dyDescent="0.35">
      <c r="A493" s="2" t="s">
        <v>40</v>
      </c>
      <c r="B493" s="6" t="s">
        <v>151</v>
      </c>
      <c r="C493" s="6" t="s">
        <v>96</v>
      </c>
      <c r="D493" s="2">
        <v>11</v>
      </c>
      <c r="E493" s="5">
        <f>IF(C493="", "", IFERROR(VLOOKUP(C493, Price_List!A:D, IF(Dashboard!$B$9="樂觀(Snipe)", 3, IF(Dashboard!$B$9="悲觀(Panic)", 4, 2)), 0), 0))</f>
        <v>5984</v>
      </c>
      <c r="F493" s="5">
        <f t="shared" si="7"/>
        <v>65824</v>
      </c>
    </row>
    <row r="494" spans="1:6" ht="18" hidden="1" x14ac:dyDescent="0.35">
      <c r="A494" s="2" t="s">
        <v>40</v>
      </c>
      <c r="B494" s="6" t="s">
        <v>151</v>
      </c>
      <c r="C494" s="6" t="s">
        <v>106</v>
      </c>
      <c r="D494" s="2">
        <v>3</v>
      </c>
      <c r="E494" s="5">
        <f>IF(C494="", "", IFERROR(VLOOKUP(C494, Price_List!A:D, IF(Dashboard!$B$9="樂觀(Snipe)", 3, IF(Dashboard!$B$9="悲觀(Panic)", 4, 2)), 0), 0))</f>
        <v>2199999</v>
      </c>
      <c r="F494" s="5">
        <f t="shared" si="7"/>
        <v>6599997</v>
      </c>
    </row>
    <row r="495" spans="1:6" ht="18" hidden="1" x14ac:dyDescent="0.35">
      <c r="A495" s="2" t="s">
        <v>40</v>
      </c>
      <c r="B495" s="6" t="s">
        <v>151</v>
      </c>
      <c r="C495" s="6" t="s">
        <v>122</v>
      </c>
      <c r="D495" s="2">
        <v>5</v>
      </c>
      <c r="E495" s="5">
        <f>IF(C495="", "", IFERROR(VLOOKUP(C495, Price_List!A:D, IF(Dashboard!$B$9="樂觀(Snipe)", 3, IF(Dashboard!$B$9="悲觀(Panic)", 4, 2)), 0), 0))</f>
        <v>1650000</v>
      </c>
      <c r="F495" s="5">
        <f t="shared" si="7"/>
        <v>8250000</v>
      </c>
    </row>
    <row r="496" spans="1:6" ht="18" hidden="1" x14ac:dyDescent="0.35">
      <c r="A496" s="2" t="s">
        <v>40</v>
      </c>
      <c r="B496" s="6" t="s">
        <v>151</v>
      </c>
      <c r="C496" s="6" t="s">
        <v>153</v>
      </c>
      <c r="D496" s="2">
        <v>8</v>
      </c>
      <c r="E496" s="5">
        <f>IF(C496="", "", IFERROR(VLOOKUP(C496, Price_List!A:D, IF(Dashboard!$B$9="樂觀(Snipe)", 3, IF(Dashboard!$B$9="悲觀(Panic)", 4, 2)), 0), 0))</f>
        <v>208996</v>
      </c>
      <c r="F496" s="5">
        <f t="shared" si="7"/>
        <v>1671968</v>
      </c>
    </row>
    <row r="497" spans="1:6" ht="18" hidden="1" x14ac:dyDescent="0.35">
      <c r="A497" s="2" t="s">
        <v>40</v>
      </c>
      <c r="B497" s="6" t="s">
        <v>151</v>
      </c>
      <c r="C497" s="6" t="s">
        <v>108</v>
      </c>
      <c r="D497" s="2">
        <v>4</v>
      </c>
      <c r="E497" s="5">
        <f>IF(C497="", "", IFERROR(VLOOKUP(C497, Price_List!A:D, IF(Dashboard!$B$9="樂觀(Snipe)", 3, IF(Dashboard!$B$9="悲觀(Panic)", 4, 2)), 0), 0))</f>
        <v>189998</v>
      </c>
      <c r="F497" s="5">
        <f t="shared" si="7"/>
        <v>759992</v>
      </c>
    </row>
    <row r="498" spans="1:6" ht="18" hidden="1" x14ac:dyDescent="0.35">
      <c r="A498" s="2" t="s">
        <v>40</v>
      </c>
      <c r="B498" s="6" t="s">
        <v>154</v>
      </c>
      <c r="C498" s="6" t="s">
        <v>101</v>
      </c>
      <c r="D498" s="2">
        <v>2</v>
      </c>
      <c r="E498" s="5">
        <f>IF(C498="", "", IFERROR(VLOOKUP(C498, Price_List!A:D, IF(Dashboard!$B$9="樂觀(Snipe)", 3, IF(Dashboard!$B$9="悲觀(Panic)", 4, 2)), 0), 0))</f>
        <v>2900000</v>
      </c>
      <c r="F498" s="5">
        <f t="shared" si="7"/>
        <v>5800000</v>
      </c>
    </row>
    <row r="499" spans="1:6" ht="18" hidden="1" x14ac:dyDescent="0.35">
      <c r="A499" s="2" t="s">
        <v>40</v>
      </c>
      <c r="B499" s="6" t="s">
        <v>154</v>
      </c>
      <c r="C499" s="6" t="s">
        <v>105</v>
      </c>
      <c r="D499" s="2">
        <v>9</v>
      </c>
      <c r="E499" s="5">
        <f>IF(C499="", "", IFERROR(VLOOKUP(C499, Price_List!A:D, IF(Dashboard!$B$9="樂觀(Snipe)", 3, IF(Dashboard!$B$9="悲觀(Panic)", 4, 2)), 0), 0))</f>
        <v>560000</v>
      </c>
      <c r="F499" s="5">
        <f t="shared" si="7"/>
        <v>5040000</v>
      </c>
    </row>
    <row r="500" spans="1:6" ht="18" hidden="1" x14ac:dyDescent="0.35">
      <c r="A500" s="2" t="s">
        <v>40</v>
      </c>
      <c r="B500" s="6" t="s">
        <v>154</v>
      </c>
      <c r="C500" s="6" t="s">
        <v>96</v>
      </c>
      <c r="D500" s="2">
        <v>29</v>
      </c>
      <c r="E500" s="5">
        <f>IF(C500="", "", IFERROR(VLOOKUP(C500, Price_List!A:D, IF(Dashboard!$B$9="樂觀(Snipe)", 3, IF(Dashboard!$B$9="悲觀(Panic)", 4, 2)), 0), 0))</f>
        <v>5984</v>
      </c>
      <c r="F500" s="5">
        <f t="shared" si="7"/>
        <v>173536</v>
      </c>
    </row>
    <row r="501" spans="1:6" ht="18" hidden="1" x14ac:dyDescent="0.35">
      <c r="A501" s="2" t="s">
        <v>40</v>
      </c>
      <c r="B501" s="6" t="s">
        <v>154</v>
      </c>
      <c r="C501" s="6" t="s">
        <v>106</v>
      </c>
      <c r="D501" s="2">
        <v>8</v>
      </c>
      <c r="E501" s="5">
        <f>IF(C501="", "", IFERROR(VLOOKUP(C501, Price_List!A:D, IF(Dashboard!$B$9="樂觀(Snipe)", 3, IF(Dashboard!$B$9="悲觀(Panic)", 4, 2)), 0), 0))</f>
        <v>2199999</v>
      </c>
      <c r="F501" s="5">
        <f t="shared" si="7"/>
        <v>17599992</v>
      </c>
    </row>
    <row r="502" spans="1:6" ht="18" hidden="1" x14ac:dyDescent="0.35">
      <c r="A502" s="2" t="s">
        <v>40</v>
      </c>
      <c r="B502" s="6" t="s">
        <v>154</v>
      </c>
      <c r="C502" s="6" t="s">
        <v>122</v>
      </c>
      <c r="D502" s="2">
        <v>14</v>
      </c>
      <c r="E502" s="5">
        <f>IF(C502="", "", IFERROR(VLOOKUP(C502, Price_List!A:D, IF(Dashboard!$B$9="樂觀(Snipe)", 3, IF(Dashboard!$B$9="悲觀(Panic)", 4, 2)), 0), 0))</f>
        <v>1650000</v>
      </c>
      <c r="F502" s="5">
        <f t="shared" si="7"/>
        <v>23100000</v>
      </c>
    </row>
    <row r="503" spans="1:6" ht="18" hidden="1" x14ac:dyDescent="0.35">
      <c r="A503" s="2" t="s">
        <v>40</v>
      </c>
      <c r="B503" s="6" t="s">
        <v>154</v>
      </c>
      <c r="C503" s="6" t="s">
        <v>147</v>
      </c>
      <c r="D503" s="2">
        <v>21</v>
      </c>
      <c r="E503" s="5">
        <f>IF(C503="", "", IFERROR(VLOOKUP(C503, Price_List!A:D, IF(Dashboard!$B$9="樂觀(Snipe)", 3, IF(Dashboard!$B$9="悲觀(Panic)", 4, 2)), 0), 0))</f>
        <v>195497</v>
      </c>
      <c r="F503" s="5">
        <f t="shared" si="7"/>
        <v>4105437</v>
      </c>
    </row>
    <row r="504" spans="1:6" ht="18" hidden="1" x14ac:dyDescent="0.35">
      <c r="A504" s="2" t="s">
        <v>40</v>
      </c>
      <c r="B504" s="6" t="s">
        <v>154</v>
      </c>
      <c r="C504" s="6" t="s">
        <v>108</v>
      </c>
      <c r="D504" s="2">
        <v>12</v>
      </c>
      <c r="E504" s="5">
        <f>IF(C504="", "", IFERROR(VLOOKUP(C504, Price_List!A:D, IF(Dashboard!$B$9="樂觀(Snipe)", 3, IF(Dashboard!$B$9="悲觀(Panic)", 4, 2)), 0), 0))</f>
        <v>189998</v>
      </c>
      <c r="F504" s="5">
        <f t="shared" si="7"/>
        <v>2279976</v>
      </c>
    </row>
    <row r="505" spans="1:6" ht="18" hidden="1" x14ac:dyDescent="0.35">
      <c r="A505" s="2" t="s">
        <v>40</v>
      </c>
      <c r="B505" s="6" t="s">
        <v>155</v>
      </c>
      <c r="C505" s="6" t="s">
        <v>102</v>
      </c>
      <c r="D505" s="2">
        <v>2</v>
      </c>
      <c r="E505" s="5">
        <f>IF(C505="", "", IFERROR(VLOOKUP(C505, Price_List!A:D, IF(Dashboard!$B$9="樂觀(Snipe)", 3, IF(Dashboard!$B$9="悲觀(Panic)", 4, 2)), 0), 0))</f>
        <v>2999990</v>
      </c>
      <c r="F505" s="5">
        <f t="shared" si="7"/>
        <v>5999980</v>
      </c>
    </row>
    <row r="506" spans="1:6" ht="18" hidden="1" x14ac:dyDescent="0.35">
      <c r="A506" s="2" t="s">
        <v>40</v>
      </c>
      <c r="B506" s="6" t="s">
        <v>155</v>
      </c>
      <c r="C506" s="6" t="s">
        <v>105</v>
      </c>
      <c r="D506" s="2">
        <v>9</v>
      </c>
      <c r="E506" s="5">
        <f>IF(C506="", "", IFERROR(VLOOKUP(C506, Price_List!A:D, IF(Dashboard!$B$9="樂觀(Snipe)", 3, IF(Dashboard!$B$9="悲觀(Panic)", 4, 2)), 0), 0))</f>
        <v>560000</v>
      </c>
      <c r="F506" s="5">
        <f t="shared" si="7"/>
        <v>5040000</v>
      </c>
    </row>
    <row r="507" spans="1:6" ht="18" hidden="1" x14ac:dyDescent="0.35">
      <c r="A507" s="2" t="s">
        <v>40</v>
      </c>
      <c r="B507" s="6" t="s">
        <v>155</v>
      </c>
      <c r="C507" s="6" t="s">
        <v>96</v>
      </c>
      <c r="D507" s="2">
        <v>29</v>
      </c>
      <c r="E507" s="5">
        <f>IF(C507="", "", IFERROR(VLOOKUP(C507, Price_List!A:D, IF(Dashboard!$B$9="樂觀(Snipe)", 3, IF(Dashboard!$B$9="悲觀(Panic)", 4, 2)), 0), 0))</f>
        <v>5984</v>
      </c>
      <c r="F507" s="5">
        <f t="shared" si="7"/>
        <v>173536</v>
      </c>
    </row>
    <row r="508" spans="1:6" ht="18" hidden="1" x14ac:dyDescent="0.35">
      <c r="A508" s="2" t="s">
        <v>40</v>
      </c>
      <c r="B508" s="6" t="s">
        <v>155</v>
      </c>
      <c r="C508" s="6" t="s">
        <v>106</v>
      </c>
      <c r="D508" s="2">
        <v>8</v>
      </c>
      <c r="E508" s="5">
        <f>IF(C508="", "", IFERROR(VLOOKUP(C508, Price_List!A:D, IF(Dashboard!$B$9="樂觀(Snipe)", 3, IF(Dashboard!$B$9="悲觀(Panic)", 4, 2)), 0), 0))</f>
        <v>2199999</v>
      </c>
      <c r="F508" s="5">
        <f t="shared" si="7"/>
        <v>17599992</v>
      </c>
    </row>
    <row r="509" spans="1:6" ht="18" hidden="1" x14ac:dyDescent="0.35">
      <c r="A509" s="2" t="s">
        <v>40</v>
      </c>
      <c r="B509" s="6" t="s">
        <v>155</v>
      </c>
      <c r="C509" s="6" t="s">
        <v>122</v>
      </c>
      <c r="D509" s="2">
        <v>14</v>
      </c>
      <c r="E509" s="5">
        <f>IF(C509="", "", IFERROR(VLOOKUP(C509, Price_List!A:D, IF(Dashboard!$B$9="樂觀(Snipe)", 3, IF(Dashboard!$B$9="悲觀(Panic)", 4, 2)), 0), 0))</f>
        <v>1650000</v>
      </c>
      <c r="F509" s="5">
        <f t="shared" si="7"/>
        <v>23100000</v>
      </c>
    </row>
    <row r="510" spans="1:6" ht="18" hidden="1" x14ac:dyDescent="0.35">
      <c r="A510" s="2" t="s">
        <v>40</v>
      </c>
      <c r="B510" s="6" t="s">
        <v>155</v>
      </c>
      <c r="C510" s="6" t="s">
        <v>153</v>
      </c>
      <c r="D510" s="2">
        <v>21</v>
      </c>
      <c r="E510" s="5">
        <f>IF(C510="", "", IFERROR(VLOOKUP(C510, Price_List!A:D, IF(Dashboard!$B$9="樂觀(Snipe)", 3, IF(Dashboard!$B$9="悲觀(Panic)", 4, 2)), 0), 0))</f>
        <v>208996</v>
      </c>
      <c r="F510" s="5">
        <f t="shared" si="7"/>
        <v>4388916</v>
      </c>
    </row>
    <row r="511" spans="1:6" ht="18" hidden="1" x14ac:dyDescent="0.35">
      <c r="A511" s="2" t="s">
        <v>40</v>
      </c>
      <c r="B511" s="6" t="s">
        <v>155</v>
      </c>
      <c r="C511" s="6" t="s">
        <v>108</v>
      </c>
      <c r="D511" s="2">
        <v>12</v>
      </c>
      <c r="E511" s="5">
        <f>IF(C511="", "", IFERROR(VLOOKUP(C511, Price_List!A:D, IF(Dashboard!$B$9="樂觀(Snipe)", 3, IF(Dashboard!$B$9="悲觀(Panic)", 4, 2)), 0), 0))</f>
        <v>189998</v>
      </c>
      <c r="F511" s="5">
        <f t="shared" si="7"/>
        <v>2279976</v>
      </c>
    </row>
    <row r="512" spans="1:6" ht="18" x14ac:dyDescent="0.35">
      <c r="A512" s="6" t="s">
        <v>93</v>
      </c>
      <c r="B512" s="6" t="s">
        <v>126</v>
      </c>
      <c r="C512" s="6" t="s">
        <v>127</v>
      </c>
      <c r="D512" s="2">
        <v>1</v>
      </c>
      <c r="E512" s="5">
        <f>IF(C512="", "", IFERROR(VLOOKUP(C512, Price_List!A:D, IF(Dashboard!$B$9="樂觀(Snipe)", 3, IF(Dashboard!$B$9="悲觀(Panic)", 4, 2)), 0), 0))</f>
        <v>2866664</v>
      </c>
      <c r="F512" s="5">
        <f t="shared" si="7"/>
        <v>2866664</v>
      </c>
    </row>
    <row r="513" spans="1:6" ht="18" x14ac:dyDescent="0.35">
      <c r="A513" s="6" t="s">
        <v>93</v>
      </c>
      <c r="B513" s="6" t="s">
        <v>126</v>
      </c>
      <c r="C513" s="6" t="s">
        <v>105</v>
      </c>
      <c r="D513" s="2">
        <v>5</v>
      </c>
      <c r="E513" s="5">
        <f>IF(C513="", "", IFERROR(VLOOKUP(C513, Price_List!A:D, IF(Dashboard!$B$9="樂觀(Snipe)", 3, IF(Dashboard!$B$9="悲觀(Panic)", 4, 2)), 0), 0))</f>
        <v>560000</v>
      </c>
      <c r="F513" s="5">
        <f t="shared" si="7"/>
        <v>2800000</v>
      </c>
    </row>
    <row r="514" spans="1:6" ht="18" x14ac:dyDescent="0.35">
      <c r="A514" s="6" t="s">
        <v>93</v>
      </c>
      <c r="B514" s="6" t="s">
        <v>126</v>
      </c>
      <c r="C514" s="6" t="s">
        <v>138</v>
      </c>
      <c r="D514" s="2">
        <v>22</v>
      </c>
      <c r="E514" s="5">
        <f>IF(C514="", "", IFERROR(VLOOKUP(C514, Price_List!A:D, IF(Dashboard!$B$9="樂觀(Snipe)", 3, IF(Dashboard!$B$9="悲觀(Panic)", 4, 2)), 0), 0))</f>
        <v>4665</v>
      </c>
      <c r="F514" s="5">
        <f t="shared" ref="F514:F577" si="8">IF(C514="", "", D514*E514)</f>
        <v>102630</v>
      </c>
    </row>
    <row r="515" spans="1:6" ht="18" x14ac:dyDescent="0.35">
      <c r="A515" s="6" t="s">
        <v>93</v>
      </c>
      <c r="B515" s="6" t="s">
        <v>126</v>
      </c>
      <c r="C515" s="6" t="s">
        <v>106</v>
      </c>
      <c r="D515" s="2">
        <v>10</v>
      </c>
      <c r="E515" s="5">
        <f>IF(C515="", "", IFERROR(VLOOKUP(C515, Price_List!A:D, IF(Dashboard!$B$9="樂觀(Snipe)", 3, IF(Dashboard!$B$9="悲觀(Panic)", 4, 2)), 0), 0))</f>
        <v>2199999</v>
      </c>
      <c r="F515" s="5">
        <f t="shared" si="8"/>
        <v>21999990</v>
      </c>
    </row>
    <row r="516" spans="1:6" ht="18" x14ac:dyDescent="0.35">
      <c r="A516" s="6" t="s">
        <v>93</v>
      </c>
      <c r="B516" s="6" t="s">
        <v>126</v>
      </c>
      <c r="C516" s="6" t="s">
        <v>107</v>
      </c>
      <c r="D516" s="2">
        <v>12</v>
      </c>
      <c r="E516" s="5">
        <f>IF(C516="", "", IFERROR(VLOOKUP(C516, Price_List!A:D, IF(Dashboard!$B$9="樂觀(Snipe)", 3, IF(Dashboard!$B$9="悲觀(Panic)", 4, 2)), 0), 0))</f>
        <v>205000</v>
      </c>
      <c r="F516" s="5">
        <f t="shared" si="8"/>
        <v>2460000</v>
      </c>
    </row>
    <row r="517" spans="1:6" ht="18" x14ac:dyDescent="0.35">
      <c r="A517" s="6" t="s">
        <v>93</v>
      </c>
      <c r="B517" s="6" t="s">
        <v>126</v>
      </c>
      <c r="C517" s="6" t="s">
        <v>108</v>
      </c>
      <c r="D517" s="2">
        <v>7</v>
      </c>
      <c r="E517" s="5">
        <f>IF(C517="", "", IFERROR(VLOOKUP(C517, Price_List!A:D, IF(Dashboard!$B$9="樂觀(Snipe)", 3, IF(Dashboard!$B$9="悲觀(Panic)", 4, 2)), 0), 0))</f>
        <v>189998</v>
      </c>
      <c r="F517" s="5">
        <f t="shared" si="8"/>
        <v>1329986</v>
      </c>
    </row>
    <row r="518" spans="1:6" ht="18" x14ac:dyDescent="0.35">
      <c r="A518" s="6" t="s">
        <v>93</v>
      </c>
      <c r="B518" s="6" t="s">
        <v>130</v>
      </c>
      <c r="C518" s="6" t="s">
        <v>129</v>
      </c>
      <c r="D518" s="2">
        <v>1</v>
      </c>
      <c r="E518" s="5">
        <f>IF(C518="", "", IFERROR(VLOOKUP(C518, Price_List!A:D, IF(Dashboard!$B$9="樂觀(Snipe)", 3, IF(Dashboard!$B$9="悲觀(Panic)", 4, 2)), 0), 0))</f>
        <v>3429999</v>
      </c>
      <c r="F518" s="5">
        <f t="shared" si="8"/>
        <v>3429999</v>
      </c>
    </row>
    <row r="519" spans="1:6" ht="18" x14ac:dyDescent="0.35">
      <c r="A519" s="6" t="s">
        <v>93</v>
      </c>
      <c r="B519" s="6" t="s">
        <v>130</v>
      </c>
      <c r="C519" s="6" t="s">
        <v>105</v>
      </c>
      <c r="D519" s="2">
        <v>5</v>
      </c>
      <c r="E519" s="5">
        <f>IF(C519="", "", IFERROR(VLOOKUP(C519, Price_List!A:D, IF(Dashboard!$B$9="樂觀(Snipe)", 3, IF(Dashboard!$B$9="悲觀(Panic)", 4, 2)), 0), 0))</f>
        <v>560000</v>
      </c>
      <c r="F519" s="5">
        <f t="shared" si="8"/>
        <v>2800000</v>
      </c>
    </row>
    <row r="520" spans="1:6" ht="18" x14ac:dyDescent="0.35">
      <c r="A520" s="6" t="s">
        <v>93</v>
      </c>
      <c r="B520" s="6" t="s">
        <v>130</v>
      </c>
      <c r="C520" s="6" t="s">
        <v>138</v>
      </c>
      <c r="D520" s="2">
        <v>22</v>
      </c>
      <c r="E520" s="5">
        <f>IF(C520="", "", IFERROR(VLOOKUP(C520, Price_List!A:D, IF(Dashboard!$B$9="樂觀(Snipe)", 3, IF(Dashboard!$B$9="悲觀(Panic)", 4, 2)), 0), 0))</f>
        <v>4665</v>
      </c>
      <c r="F520" s="5">
        <f t="shared" si="8"/>
        <v>102630</v>
      </c>
    </row>
    <row r="521" spans="1:6" ht="18" x14ac:dyDescent="0.35">
      <c r="A521" s="6" t="s">
        <v>93</v>
      </c>
      <c r="B521" s="6" t="s">
        <v>130</v>
      </c>
      <c r="C521" s="6" t="s">
        <v>106</v>
      </c>
      <c r="D521" s="2">
        <v>10</v>
      </c>
      <c r="E521" s="5">
        <f>IF(C521="", "", IFERROR(VLOOKUP(C521, Price_List!A:D, IF(Dashboard!$B$9="樂觀(Snipe)", 3, IF(Dashboard!$B$9="悲觀(Panic)", 4, 2)), 0), 0))</f>
        <v>2199999</v>
      </c>
      <c r="F521" s="5">
        <f t="shared" si="8"/>
        <v>21999990</v>
      </c>
    </row>
    <row r="522" spans="1:6" ht="18" x14ac:dyDescent="0.35">
      <c r="A522" s="6" t="s">
        <v>93</v>
      </c>
      <c r="B522" s="6" t="s">
        <v>130</v>
      </c>
      <c r="C522" s="6" t="s">
        <v>107</v>
      </c>
      <c r="D522" s="2">
        <v>12</v>
      </c>
      <c r="E522" s="5">
        <f>IF(C522="", "", IFERROR(VLOOKUP(C522, Price_List!A:D, IF(Dashboard!$B$9="樂觀(Snipe)", 3, IF(Dashboard!$B$9="悲觀(Panic)", 4, 2)), 0), 0))</f>
        <v>205000</v>
      </c>
      <c r="F522" s="5">
        <f t="shared" si="8"/>
        <v>2460000</v>
      </c>
    </row>
    <row r="523" spans="1:6" ht="18" x14ac:dyDescent="0.35">
      <c r="A523" s="6" t="s">
        <v>93</v>
      </c>
      <c r="B523" s="6" t="s">
        <v>130</v>
      </c>
      <c r="C523" s="6" t="s">
        <v>108</v>
      </c>
      <c r="D523" s="2">
        <v>7</v>
      </c>
      <c r="E523" s="5">
        <f>IF(C523="", "", IFERROR(VLOOKUP(C523, Price_List!A:D, IF(Dashboard!$B$9="樂觀(Snipe)", 3, IF(Dashboard!$B$9="悲觀(Panic)", 4, 2)), 0), 0))</f>
        <v>189998</v>
      </c>
      <c r="F523" s="5">
        <f t="shared" si="8"/>
        <v>1329986</v>
      </c>
    </row>
    <row r="524" spans="1:6" ht="18" x14ac:dyDescent="0.35">
      <c r="A524" s="6" t="s">
        <v>93</v>
      </c>
      <c r="B524" s="6" t="s">
        <v>131</v>
      </c>
      <c r="C524" s="6" t="s">
        <v>132</v>
      </c>
      <c r="D524" s="2">
        <v>1</v>
      </c>
      <c r="E524" s="5">
        <f>IF(C524="", "", IFERROR(VLOOKUP(C524, Price_List!A:D, IF(Dashboard!$B$9="樂觀(Snipe)", 3, IF(Dashboard!$B$9="悲觀(Panic)", 4, 2)), 0), 0))</f>
        <v>3188800</v>
      </c>
      <c r="F524" s="5">
        <f t="shared" si="8"/>
        <v>3188800</v>
      </c>
    </row>
    <row r="525" spans="1:6" ht="18" x14ac:dyDescent="0.35">
      <c r="A525" s="6" t="s">
        <v>93</v>
      </c>
      <c r="B525" s="6" t="s">
        <v>131</v>
      </c>
      <c r="C525" s="6" t="s">
        <v>105</v>
      </c>
      <c r="D525" s="2">
        <v>5</v>
      </c>
      <c r="E525" s="5">
        <f>IF(C525="", "", IFERROR(VLOOKUP(C525, Price_List!A:D, IF(Dashboard!$B$9="樂觀(Snipe)", 3, IF(Dashboard!$B$9="悲觀(Panic)", 4, 2)), 0), 0))</f>
        <v>560000</v>
      </c>
      <c r="F525" s="5">
        <f t="shared" si="8"/>
        <v>2800000</v>
      </c>
    </row>
    <row r="526" spans="1:6" ht="18" x14ac:dyDescent="0.35">
      <c r="A526" s="6" t="s">
        <v>93</v>
      </c>
      <c r="B526" s="6" t="s">
        <v>131</v>
      </c>
      <c r="C526" s="6" t="s">
        <v>138</v>
      </c>
      <c r="D526" s="2">
        <v>22</v>
      </c>
      <c r="E526" s="5">
        <f>IF(C526="", "", IFERROR(VLOOKUP(C526, Price_List!A:D, IF(Dashboard!$B$9="樂觀(Snipe)", 3, IF(Dashboard!$B$9="悲觀(Panic)", 4, 2)), 0), 0))</f>
        <v>4665</v>
      </c>
      <c r="F526" s="5">
        <f t="shared" si="8"/>
        <v>102630</v>
      </c>
    </row>
    <row r="527" spans="1:6" ht="18" x14ac:dyDescent="0.35">
      <c r="A527" s="6" t="s">
        <v>93</v>
      </c>
      <c r="B527" s="6" t="s">
        <v>131</v>
      </c>
      <c r="C527" s="6" t="s">
        <v>106</v>
      </c>
      <c r="D527" s="2">
        <v>10</v>
      </c>
      <c r="E527" s="5">
        <f>IF(C527="", "", IFERROR(VLOOKUP(C527, Price_List!A:D, IF(Dashboard!$B$9="樂觀(Snipe)", 3, IF(Dashboard!$B$9="悲觀(Panic)", 4, 2)), 0), 0))</f>
        <v>2199999</v>
      </c>
      <c r="F527" s="5">
        <f t="shared" si="8"/>
        <v>21999990</v>
      </c>
    </row>
    <row r="528" spans="1:6" ht="18" x14ac:dyDescent="0.35">
      <c r="A528" s="6" t="s">
        <v>93</v>
      </c>
      <c r="B528" s="6" t="s">
        <v>131</v>
      </c>
      <c r="C528" s="6" t="s">
        <v>107</v>
      </c>
      <c r="D528" s="2">
        <v>12</v>
      </c>
      <c r="E528" s="5">
        <f>IF(C528="", "", IFERROR(VLOOKUP(C528, Price_List!A:D, IF(Dashboard!$B$9="樂觀(Snipe)", 3, IF(Dashboard!$B$9="悲觀(Panic)", 4, 2)), 0), 0))</f>
        <v>205000</v>
      </c>
      <c r="F528" s="5">
        <f t="shared" si="8"/>
        <v>2460000</v>
      </c>
    </row>
    <row r="529" spans="1:6" ht="18" x14ac:dyDescent="0.35">
      <c r="A529" s="6" t="s">
        <v>93</v>
      </c>
      <c r="B529" s="6" t="s">
        <v>131</v>
      </c>
      <c r="C529" s="6" t="s">
        <v>108</v>
      </c>
      <c r="D529" s="2">
        <v>7</v>
      </c>
      <c r="E529" s="5">
        <f>IF(C529="", "", IFERROR(VLOOKUP(C529, Price_List!A:D, IF(Dashboard!$B$9="樂觀(Snipe)", 3, IF(Dashboard!$B$9="悲觀(Panic)", 4, 2)), 0), 0))</f>
        <v>189998</v>
      </c>
      <c r="F529" s="5">
        <f t="shared" si="8"/>
        <v>1329986</v>
      </c>
    </row>
    <row r="530" spans="1:6" ht="18" x14ac:dyDescent="0.35">
      <c r="A530" s="6" t="s">
        <v>93</v>
      </c>
      <c r="B530" s="6" t="s">
        <v>134</v>
      </c>
      <c r="C530" s="6" t="s">
        <v>133</v>
      </c>
      <c r="D530" s="2">
        <v>1</v>
      </c>
      <c r="E530" s="5">
        <f>IF(C530="", "", IFERROR(VLOOKUP(C530, Price_List!A:D, IF(Dashboard!$B$9="樂觀(Snipe)", 3, IF(Dashboard!$B$9="悲觀(Panic)", 4, 2)), 0), 0))</f>
        <v>3149990</v>
      </c>
      <c r="F530" s="5">
        <f t="shared" si="8"/>
        <v>3149990</v>
      </c>
    </row>
    <row r="531" spans="1:6" ht="18" x14ac:dyDescent="0.35">
      <c r="A531" s="6" t="s">
        <v>93</v>
      </c>
      <c r="B531" s="6" t="s">
        <v>134</v>
      </c>
      <c r="C531" s="6" t="s">
        <v>105</v>
      </c>
      <c r="D531" s="2">
        <v>5</v>
      </c>
      <c r="E531" s="5">
        <f>IF(C531="", "", IFERROR(VLOOKUP(C531, Price_List!A:D, IF(Dashboard!$B$9="樂觀(Snipe)", 3, IF(Dashboard!$B$9="悲觀(Panic)", 4, 2)), 0), 0))</f>
        <v>560000</v>
      </c>
      <c r="F531" s="5">
        <f t="shared" si="8"/>
        <v>2800000</v>
      </c>
    </row>
    <row r="532" spans="1:6" ht="18" x14ac:dyDescent="0.35">
      <c r="A532" s="6" t="s">
        <v>93</v>
      </c>
      <c r="B532" s="6" t="s">
        <v>134</v>
      </c>
      <c r="C532" s="6" t="s">
        <v>138</v>
      </c>
      <c r="D532" s="2">
        <v>22</v>
      </c>
      <c r="E532" s="5">
        <f>IF(C532="", "", IFERROR(VLOOKUP(C532, Price_List!A:D, IF(Dashboard!$B$9="樂觀(Snipe)", 3, IF(Dashboard!$B$9="悲觀(Panic)", 4, 2)), 0), 0))</f>
        <v>4665</v>
      </c>
      <c r="F532" s="5">
        <f t="shared" si="8"/>
        <v>102630</v>
      </c>
    </row>
    <row r="533" spans="1:6" ht="18" x14ac:dyDescent="0.35">
      <c r="A533" s="6" t="s">
        <v>93</v>
      </c>
      <c r="B533" s="6" t="s">
        <v>134</v>
      </c>
      <c r="C533" s="6" t="s">
        <v>106</v>
      </c>
      <c r="D533" s="2">
        <v>10</v>
      </c>
      <c r="E533" s="5">
        <f>IF(C533="", "", IFERROR(VLOOKUP(C533, Price_List!A:D, IF(Dashboard!$B$9="樂觀(Snipe)", 3, IF(Dashboard!$B$9="悲觀(Panic)", 4, 2)), 0), 0))</f>
        <v>2199999</v>
      </c>
      <c r="F533" s="5">
        <f t="shared" si="8"/>
        <v>21999990</v>
      </c>
    </row>
    <row r="534" spans="1:6" ht="18" x14ac:dyDescent="0.35">
      <c r="A534" s="6" t="s">
        <v>93</v>
      </c>
      <c r="B534" s="6" t="s">
        <v>134</v>
      </c>
      <c r="C534" s="6" t="s">
        <v>107</v>
      </c>
      <c r="D534" s="2">
        <v>12</v>
      </c>
      <c r="E534" s="5">
        <f>IF(C534="", "", IFERROR(VLOOKUP(C534, Price_List!A:D, IF(Dashboard!$B$9="樂觀(Snipe)", 3, IF(Dashboard!$B$9="悲觀(Panic)", 4, 2)), 0), 0))</f>
        <v>205000</v>
      </c>
      <c r="F534" s="5">
        <f t="shared" si="8"/>
        <v>2460000</v>
      </c>
    </row>
    <row r="535" spans="1:6" ht="18" x14ac:dyDescent="0.35">
      <c r="A535" s="6" t="s">
        <v>93</v>
      </c>
      <c r="B535" s="6" t="s">
        <v>134</v>
      </c>
      <c r="C535" s="6" t="s">
        <v>108</v>
      </c>
      <c r="D535" s="2">
        <v>7</v>
      </c>
      <c r="E535" s="5">
        <f>IF(C535="", "", IFERROR(VLOOKUP(C535, Price_List!A:D, IF(Dashboard!$B$9="樂觀(Snipe)", 3, IF(Dashboard!$B$9="悲觀(Panic)", 4, 2)), 0), 0))</f>
        <v>189998</v>
      </c>
      <c r="F535" s="5">
        <f t="shared" si="8"/>
        <v>1329986</v>
      </c>
    </row>
    <row r="536" spans="1:6" ht="18" x14ac:dyDescent="0.35">
      <c r="A536" s="6" t="s">
        <v>93</v>
      </c>
      <c r="B536" s="6" t="s">
        <v>135</v>
      </c>
      <c r="C536" s="6" t="s">
        <v>136</v>
      </c>
      <c r="D536" s="2">
        <v>1</v>
      </c>
      <c r="E536" s="5">
        <f>IF(C536="", "", IFERROR(VLOOKUP(C536, Price_List!A:D, IF(Dashboard!$B$9="樂觀(Snipe)", 3, IF(Dashboard!$B$9="悲觀(Panic)", 4, 2)), 0), 0))</f>
        <v>2599988</v>
      </c>
      <c r="F536" s="5">
        <f t="shared" si="8"/>
        <v>2599988</v>
      </c>
    </row>
    <row r="537" spans="1:6" ht="18" x14ac:dyDescent="0.35">
      <c r="A537" s="6" t="s">
        <v>93</v>
      </c>
      <c r="B537" s="6" t="s">
        <v>135</v>
      </c>
      <c r="C537" s="6" t="s">
        <v>105</v>
      </c>
      <c r="D537" s="2">
        <v>5</v>
      </c>
      <c r="E537" s="5">
        <f>IF(C537="", "", IFERROR(VLOOKUP(C537, Price_List!A:D, IF(Dashboard!$B$9="樂觀(Snipe)", 3, IF(Dashboard!$B$9="悲觀(Panic)", 4, 2)), 0), 0))</f>
        <v>560000</v>
      </c>
      <c r="F537" s="5">
        <f t="shared" si="8"/>
        <v>2800000</v>
      </c>
    </row>
    <row r="538" spans="1:6" ht="18" x14ac:dyDescent="0.35">
      <c r="A538" s="6" t="s">
        <v>93</v>
      </c>
      <c r="B538" s="6" t="s">
        <v>135</v>
      </c>
      <c r="C538" s="6" t="s">
        <v>138</v>
      </c>
      <c r="D538" s="2">
        <v>22</v>
      </c>
      <c r="E538" s="5">
        <f>IF(C538="", "", IFERROR(VLOOKUP(C538, Price_List!A:D, IF(Dashboard!$B$9="樂觀(Snipe)", 3, IF(Dashboard!$B$9="悲觀(Panic)", 4, 2)), 0), 0))</f>
        <v>4665</v>
      </c>
      <c r="F538" s="5">
        <f t="shared" si="8"/>
        <v>102630</v>
      </c>
    </row>
    <row r="539" spans="1:6" ht="18" x14ac:dyDescent="0.35">
      <c r="A539" s="6" t="s">
        <v>93</v>
      </c>
      <c r="B539" s="6" t="s">
        <v>135</v>
      </c>
      <c r="C539" s="6" t="s">
        <v>106</v>
      </c>
      <c r="D539" s="2">
        <v>10</v>
      </c>
      <c r="E539" s="5">
        <f>IF(C539="", "", IFERROR(VLOOKUP(C539, Price_List!A:D, IF(Dashboard!$B$9="樂觀(Snipe)", 3, IF(Dashboard!$B$9="悲觀(Panic)", 4, 2)), 0), 0))</f>
        <v>2199999</v>
      </c>
      <c r="F539" s="5">
        <f t="shared" si="8"/>
        <v>21999990</v>
      </c>
    </row>
    <row r="540" spans="1:6" ht="18" x14ac:dyDescent="0.35">
      <c r="A540" s="6" t="s">
        <v>93</v>
      </c>
      <c r="B540" s="6" t="s">
        <v>135</v>
      </c>
      <c r="C540" s="6" t="s">
        <v>107</v>
      </c>
      <c r="D540" s="2">
        <v>12</v>
      </c>
      <c r="E540" s="5">
        <f>IF(C540="", "", IFERROR(VLOOKUP(C540, Price_List!A:D, IF(Dashboard!$B$9="樂觀(Snipe)", 3, IF(Dashboard!$B$9="悲觀(Panic)", 4, 2)), 0), 0))</f>
        <v>205000</v>
      </c>
      <c r="F540" s="5">
        <f t="shared" si="8"/>
        <v>2460000</v>
      </c>
    </row>
    <row r="541" spans="1:6" ht="18" x14ac:dyDescent="0.35">
      <c r="A541" s="6" t="s">
        <v>93</v>
      </c>
      <c r="B541" s="6" t="s">
        <v>135</v>
      </c>
      <c r="C541" s="6" t="s">
        <v>108</v>
      </c>
      <c r="D541" s="2">
        <v>7</v>
      </c>
      <c r="E541" s="5">
        <f>IF(C541="", "", IFERROR(VLOOKUP(C541, Price_List!A:D, IF(Dashboard!$B$9="樂觀(Snipe)", 3, IF(Dashboard!$B$9="悲觀(Panic)", 4, 2)), 0), 0))</f>
        <v>189998</v>
      </c>
      <c r="F541" s="5">
        <f t="shared" si="8"/>
        <v>1329986</v>
      </c>
    </row>
    <row r="542" spans="1:6" ht="18" x14ac:dyDescent="0.35">
      <c r="A542" s="6" t="s">
        <v>93</v>
      </c>
      <c r="B542" s="6" t="s">
        <v>154</v>
      </c>
      <c r="C542" s="6" t="s">
        <v>101</v>
      </c>
      <c r="D542" s="2">
        <v>1</v>
      </c>
      <c r="E542" s="5">
        <f>IF(C542="", "", IFERROR(VLOOKUP(C542, Price_List!A:D, IF(Dashboard!$B$9="樂觀(Snipe)", 3, IF(Dashboard!$B$9="悲觀(Panic)", 4, 2)), 0), 0))</f>
        <v>2900000</v>
      </c>
      <c r="F542" s="5">
        <f t="shared" si="8"/>
        <v>2900000</v>
      </c>
    </row>
    <row r="543" spans="1:6" ht="18" x14ac:dyDescent="0.35">
      <c r="A543" s="6" t="s">
        <v>93</v>
      </c>
      <c r="B543" s="6" t="s">
        <v>154</v>
      </c>
      <c r="C543" s="6" t="s">
        <v>105</v>
      </c>
      <c r="D543" s="2">
        <v>5</v>
      </c>
      <c r="E543" s="5">
        <f>IF(C543="", "", IFERROR(VLOOKUP(C543, Price_List!A:D, IF(Dashboard!$B$9="樂觀(Snipe)", 3, IF(Dashboard!$B$9="悲觀(Panic)", 4, 2)), 0), 0))</f>
        <v>560000</v>
      </c>
      <c r="F543" s="5">
        <f t="shared" si="8"/>
        <v>2800000</v>
      </c>
    </row>
    <row r="544" spans="1:6" ht="18" x14ac:dyDescent="0.35">
      <c r="A544" s="6" t="s">
        <v>93</v>
      </c>
      <c r="B544" s="6" t="s">
        <v>154</v>
      </c>
      <c r="C544" s="6" t="s">
        <v>94</v>
      </c>
      <c r="D544" s="2">
        <v>22</v>
      </c>
      <c r="E544" s="5">
        <f>IF(C544="", "", IFERROR(VLOOKUP(C544, Price_List!A:D, IF(Dashboard!$B$9="樂觀(Snipe)", 3, IF(Dashboard!$B$9="悲觀(Panic)", 4, 2)), 0), 0))</f>
        <v>57999</v>
      </c>
      <c r="F544" s="5">
        <f t="shared" si="8"/>
        <v>1275978</v>
      </c>
    </row>
    <row r="545" spans="1:6" ht="18" x14ac:dyDescent="0.35">
      <c r="A545" s="6" t="s">
        <v>93</v>
      </c>
      <c r="B545" s="6" t="s">
        <v>154</v>
      </c>
      <c r="C545" s="6" t="s">
        <v>106</v>
      </c>
      <c r="D545" s="2">
        <v>10</v>
      </c>
      <c r="E545" s="5">
        <f>IF(C545="", "", IFERROR(VLOOKUP(C545, Price_List!A:D, IF(Dashboard!$B$9="樂觀(Snipe)", 3, IF(Dashboard!$B$9="悲觀(Panic)", 4, 2)), 0), 0))</f>
        <v>2199999</v>
      </c>
      <c r="F545" s="5">
        <f t="shared" si="8"/>
        <v>21999990</v>
      </c>
    </row>
    <row r="546" spans="1:6" ht="18" x14ac:dyDescent="0.35">
      <c r="A546" s="6" t="s">
        <v>93</v>
      </c>
      <c r="B546" s="6" t="s">
        <v>154</v>
      </c>
      <c r="C546" s="6" t="s">
        <v>147</v>
      </c>
      <c r="D546" s="2">
        <v>12</v>
      </c>
      <c r="E546" s="5">
        <f>IF(C546="", "", IFERROR(VLOOKUP(C546, Price_List!A:D, IF(Dashboard!$B$9="樂觀(Snipe)", 3, IF(Dashboard!$B$9="悲觀(Panic)", 4, 2)), 0), 0))</f>
        <v>195497</v>
      </c>
      <c r="F546" s="5">
        <f t="shared" si="8"/>
        <v>2345964</v>
      </c>
    </row>
    <row r="547" spans="1:6" ht="18" x14ac:dyDescent="0.35">
      <c r="A547" s="6" t="s">
        <v>93</v>
      </c>
      <c r="B547" s="6" t="s">
        <v>154</v>
      </c>
      <c r="C547" s="6" t="s">
        <v>108</v>
      </c>
      <c r="D547" s="2">
        <v>7</v>
      </c>
      <c r="E547" s="5">
        <f>IF(C547="", "", IFERROR(VLOOKUP(C547, Price_List!A:D, IF(Dashboard!$B$9="樂觀(Snipe)", 3, IF(Dashboard!$B$9="悲觀(Panic)", 4, 2)), 0), 0))</f>
        <v>189998</v>
      </c>
      <c r="F547" s="5">
        <f t="shared" si="8"/>
        <v>1329986</v>
      </c>
    </row>
    <row r="548" spans="1:6" ht="18" x14ac:dyDescent="0.35">
      <c r="A548" s="6" t="s">
        <v>93</v>
      </c>
      <c r="B548" s="6" t="s">
        <v>155</v>
      </c>
      <c r="C548" s="6" t="s">
        <v>102</v>
      </c>
      <c r="D548" s="2">
        <v>1</v>
      </c>
      <c r="E548" s="5">
        <f>IF(C548="", "", IFERROR(VLOOKUP(C548, Price_List!A:D, IF(Dashboard!$B$9="樂觀(Snipe)", 3, IF(Dashboard!$B$9="悲觀(Panic)", 4, 2)), 0), 0))</f>
        <v>2999990</v>
      </c>
      <c r="F548" s="5">
        <f t="shared" si="8"/>
        <v>2999990</v>
      </c>
    </row>
    <row r="549" spans="1:6" ht="18" x14ac:dyDescent="0.35">
      <c r="A549" s="6" t="s">
        <v>93</v>
      </c>
      <c r="B549" s="6" t="s">
        <v>155</v>
      </c>
      <c r="C549" s="6" t="s">
        <v>105</v>
      </c>
      <c r="D549" s="2">
        <v>5</v>
      </c>
      <c r="E549" s="5">
        <f>IF(C549="", "", IFERROR(VLOOKUP(C549, Price_List!A:D, IF(Dashboard!$B$9="樂觀(Snipe)", 3, IF(Dashboard!$B$9="悲觀(Panic)", 4, 2)), 0), 0))</f>
        <v>560000</v>
      </c>
      <c r="F549" s="5">
        <f t="shared" si="8"/>
        <v>2800000</v>
      </c>
    </row>
    <row r="550" spans="1:6" ht="18" x14ac:dyDescent="0.35">
      <c r="A550" s="6" t="s">
        <v>93</v>
      </c>
      <c r="B550" s="6" t="s">
        <v>155</v>
      </c>
      <c r="C550" s="6" t="s">
        <v>94</v>
      </c>
      <c r="D550" s="2">
        <v>22</v>
      </c>
      <c r="E550" s="5">
        <f>IF(C550="", "", IFERROR(VLOOKUP(C550, Price_List!A:D, IF(Dashboard!$B$9="樂觀(Snipe)", 3, IF(Dashboard!$B$9="悲觀(Panic)", 4, 2)), 0), 0))</f>
        <v>57999</v>
      </c>
      <c r="F550" s="5">
        <f t="shared" si="8"/>
        <v>1275978</v>
      </c>
    </row>
    <row r="551" spans="1:6" ht="18" x14ac:dyDescent="0.35">
      <c r="A551" s="6" t="s">
        <v>93</v>
      </c>
      <c r="B551" s="6" t="s">
        <v>155</v>
      </c>
      <c r="C551" s="6" t="s">
        <v>106</v>
      </c>
      <c r="D551" s="2">
        <v>10</v>
      </c>
      <c r="E551" s="5">
        <f>IF(C551="", "", IFERROR(VLOOKUP(C551, Price_List!A:D, IF(Dashboard!$B$9="樂觀(Snipe)", 3, IF(Dashboard!$B$9="悲觀(Panic)", 4, 2)), 0), 0))</f>
        <v>2199999</v>
      </c>
      <c r="F551" s="5">
        <f t="shared" si="8"/>
        <v>21999990</v>
      </c>
    </row>
    <row r="552" spans="1:6" ht="18" x14ac:dyDescent="0.35">
      <c r="A552" s="6" t="s">
        <v>93</v>
      </c>
      <c r="B552" s="6" t="s">
        <v>155</v>
      </c>
      <c r="C552" s="6" t="s">
        <v>153</v>
      </c>
      <c r="D552" s="2">
        <v>12</v>
      </c>
      <c r="E552" s="5">
        <f>IF(C552="", "", IFERROR(VLOOKUP(C552, Price_List!A:D, IF(Dashboard!$B$9="樂觀(Snipe)", 3, IF(Dashboard!$B$9="悲觀(Panic)", 4, 2)), 0), 0))</f>
        <v>208996</v>
      </c>
      <c r="F552" s="5">
        <f t="shared" si="8"/>
        <v>2507952</v>
      </c>
    </row>
    <row r="553" spans="1:6" ht="18" x14ac:dyDescent="0.35">
      <c r="A553" s="6" t="s">
        <v>93</v>
      </c>
      <c r="B553" s="6" t="s">
        <v>155</v>
      </c>
      <c r="C553" s="6" t="s">
        <v>108</v>
      </c>
      <c r="D553" s="2">
        <v>7</v>
      </c>
      <c r="E553" s="5">
        <f>IF(C553="", "", IFERROR(VLOOKUP(C553, Price_List!A:D, IF(Dashboard!$B$9="樂觀(Snipe)", 3, IF(Dashboard!$B$9="悲觀(Panic)", 4, 2)), 0), 0))</f>
        <v>189998</v>
      </c>
      <c r="F553" s="5">
        <f t="shared" si="8"/>
        <v>1329986</v>
      </c>
    </row>
    <row r="554" spans="1:6" ht="18" x14ac:dyDescent="0.35">
      <c r="A554" s="6" t="s">
        <v>93</v>
      </c>
      <c r="B554" s="6" t="s">
        <v>145</v>
      </c>
      <c r="C554" s="6" t="s">
        <v>146</v>
      </c>
      <c r="D554" s="2">
        <v>1</v>
      </c>
      <c r="E554" s="5">
        <f>IF(C554="", "", IFERROR(VLOOKUP(C554, Price_List!A:D, IF(Dashboard!$B$9="樂觀(Snipe)", 3, IF(Dashboard!$B$9="悲觀(Panic)", 4, 2)), 0), 0))</f>
        <v>2749000</v>
      </c>
      <c r="F554" s="5">
        <f t="shared" si="8"/>
        <v>2749000</v>
      </c>
    </row>
    <row r="555" spans="1:6" ht="18" x14ac:dyDescent="0.35">
      <c r="A555" s="6" t="s">
        <v>93</v>
      </c>
      <c r="B555" s="6" t="s">
        <v>145</v>
      </c>
      <c r="C555" s="6" t="s">
        <v>105</v>
      </c>
      <c r="D555" s="2">
        <v>4</v>
      </c>
      <c r="E555" s="5">
        <f>IF(C555="", "", IFERROR(VLOOKUP(C555, Price_List!A:D, IF(Dashboard!$B$9="樂觀(Snipe)", 3, IF(Dashboard!$B$9="悲觀(Panic)", 4, 2)), 0), 0))</f>
        <v>560000</v>
      </c>
      <c r="F555" s="5">
        <f t="shared" si="8"/>
        <v>2240000</v>
      </c>
    </row>
    <row r="556" spans="1:6" ht="18" x14ac:dyDescent="0.35">
      <c r="A556" s="6" t="s">
        <v>93</v>
      </c>
      <c r="B556" s="6" t="s">
        <v>145</v>
      </c>
      <c r="C556" s="6" t="s">
        <v>94</v>
      </c>
      <c r="D556" s="2">
        <v>14</v>
      </c>
      <c r="E556" s="5">
        <f>IF(C556="", "", IFERROR(VLOOKUP(C556, Price_List!A:D, IF(Dashboard!$B$9="樂觀(Snipe)", 3, IF(Dashboard!$B$9="悲觀(Panic)", 4, 2)), 0), 0))</f>
        <v>57999</v>
      </c>
      <c r="F556" s="5">
        <f t="shared" si="8"/>
        <v>811986</v>
      </c>
    </row>
    <row r="557" spans="1:6" ht="18" x14ac:dyDescent="0.35">
      <c r="A557" s="6" t="s">
        <v>93</v>
      </c>
      <c r="B557" s="6" t="s">
        <v>145</v>
      </c>
      <c r="C557" s="6" t="s">
        <v>106</v>
      </c>
      <c r="D557" s="2">
        <v>6</v>
      </c>
      <c r="E557" s="5">
        <f>IF(C557="", "", IFERROR(VLOOKUP(C557, Price_List!A:D, IF(Dashboard!$B$9="樂觀(Snipe)", 3, IF(Dashboard!$B$9="悲觀(Panic)", 4, 2)), 0), 0))</f>
        <v>2199999</v>
      </c>
      <c r="F557" s="5">
        <f t="shared" si="8"/>
        <v>13199994</v>
      </c>
    </row>
    <row r="558" spans="1:6" ht="18" x14ac:dyDescent="0.35">
      <c r="A558" s="6" t="s">
        <v>93</v>
      </c>
      <c r="B558" s="6" t="s">
        <v>145</v>
      </c>
      <c r="C558" s="6" t="s">
        <v>147</v>
      </c>
      <c r="D558" s="2">
        <v>8</v>
      </c>
      <c r="E558" s="5">
        <f>IF(C558="", "", IFERROR(VLOOKUP(C558, Price_List!A:D, IF(Dashboard!$B$9="樂觀(Snipe)", 3, IF(Dashboard!$B$9="悲觀(Panic)", 4, 2)), 0), 0))</f>
        <v>195497</v>
      </c>
      <c r="F558" s="5">
        <f t="shared" si="8"/>
        <v>1563976</v>
      </c>
    </row>
    <row r="559" spans="1:6" ht="18" x14ac:dyDescent="0.35">
      <c r="A559" s="6" t="s">
        <v>93</v>
      </c>
      <c r="B559" s="6" t="s">
        <v>145</v>
      </c>
      <c r="C559" s="6" t="s">
        <v>108</v>
      </c>
      <c r="D559" s="2">
        <v>5</v>
      </c>
      <c r="E559" s="5">
        <f>IF(C559="", "", IFERROR(VLOOKUP(C559, Price_List!A:D, IF(Dashboard!$B$9="樂觀(Snipe)", 3, IF(Dashboard!$B$9="悲觀(Panic)", 4, 2)), 0), 0))</f>
        <v>189998</v>
      </c>
      <c r="F559" s="5">
        <f t="shared" si="8"/>
        <v>949990</v>
      </c>
    </row>
    <row r="560" spans="1:6" ht="18" x14ac:dyDescent="0.35">
      <c r="A560" s="6" t="s">
        <v>93</v>
      </c>
      <c r="B560" s="6" t="s">
        <v>148</v>
      </c>
      <c r="C560" s="6" t="s">
        <v>149</v>
      </c>
      <c r="D560" s="2">
        <v>1</v>
      </c>
      <c r="E560" s="5">
        <f>IF(C560="", "", IFERROR(VLOOKUP(C560, Price_List!A:D, IF(Dashboard!$B$9="樂觀(Snipe)", 3, IF(Dashboard!$B$9="悲觀(Panic)", 4, 2)), 0), 0))</f>
        <v>2350000</v>
      </c>
      <c r="F560" s="5">
        <f t="shared" si="8"/>
        <v>2350000</v>
      </c>
    </row>
    <row r="561" spans="1:6" ht="18" x14ac:dyDescent="0.35">
      <c r="A561" s="6" t="s">
        <v>93</v>
      </c>
      <c r="B561" s="6" t="s">
        <v>148</v>
      </c>
      <c r="C561" s="6" t="s">
        <v>105</v>
      </c>
      <c r="D561" s="2">
        <v>3</v>
      </c>
      <c r="E561" s="5">
        <f>IF(C561="", "", IFERROR(VLOOKUP(C561, Price_List!A:D, IF(Dashboard!$B$9="樂觀(Snipe)", 3, IF(Dashboard!$B$9="悲觀(Panic)", 4, 2)), 0), 0))</f>
        <v>560000</v>
      </c>
      <c r="F561" s="5">
        <f t="shared" si="8"/>
        <v>1680000</v>
      </c>
    </row>
    <row r="562" spans="1:6" ht="18" x14ac:dyDescent="0.35">
      <c r="A562" s="6" t="s">
        <v>93</v>
      </c>
      <c r="B562" s="6" t="s">
        <v>148</v>
      </c>
      <c r="C562" s="6" t="s">
        <v>94</v>
      </c>
      <c r="D562" s="2">
        <v>11</v>
      </c>
      <c r="E562" s="5">
        <f>IF(C562="", "", IFERROR(VLOOKUP(C562, Price_List!A:D, IF(Dashboard!$B$9="樂觀(Snipe)", 3, IF(Dashboard!$B$9="悲觀(Panic)", 4, 2)), 0), 0))</f>
        <v>57999</v>
      </c>
      <c r="F562" s="5">
        <f t="shared" si="8"/>
        <v>637989</v>
      </c>
    </row>
    <row r="563" spans="1:6" ht="18" x14ac:dyDescent="0.35">
      <c r="A563" s="6" t="s">
        <v>93</v>
      </c>
      <c r="B563" s="6" t="s">
        <v>148</v>
      </c>
      <c r="C563" s="6" t="s">
        <v>106</v>
      </c>
      <c r="D563" s="2">
        <v>5</v>
      </c>
      <c r="E563" s="5">
        <f>IF(C563="", "", IFERROR(VLOOKUP(C563, Price_List!A:D, IF(Dashboard!$B$9="樂觀(Snipe)", 3, IF(Dashboard!$B$9="悲觀(Panic)", 4, 2)), 0), 0))</f>
        <v>2199999</v>
      </c>
      <c r="F563" s="5">
        <f t="shared" si="8"/>
        <v>10999995</v>
      </c>
    </row>
    <row r="564" spans="1:6" ht="18" x14ac:dyDescent="0.35">
      <c r="A564" s="6" t="s">
        <v>93</v>
      </c>
      <c r="B564" s="6" t="s">
        <v>148</v>
      </c>
      <c r="C564" s="6" t="s">
        <v>150</v>
      </c>
      <c r="D564" s="2">
        <v>6</v>
      </c>
      <c r="E564" s="5">
        <f>IF(C564="", "", IFERROR(VLOOKUP(C564, Price_List!A:D, IF(Dashboard!$B$9="樂觀(Snipe)", 3, IF(Dashboard!$B$9="悲觀(Panic)", 4, 2)), 0), 0))</f>
        <v>204890</v>
      </c>
      <c r="F564" s="5">
        <f t="shared" si="8"/>
        <v>1229340</v>
      </c>
    </row>
    <row r="565" spans="1:6" ht="18" x14ac:dyDescent="0.35">
      <c r="A565" s="6" t="s">
        <v>93</v>
      </c>
      <c r="B565" s="6" t="s">
        <v>148</v>
      </c>
      <c r="C565" s="6" t="s">
        <v>108</v>
      </c>
      <c r="D565" s="2">
        <v>4</v>
      </c>
      <c r="E565" s="5">
        <f>IF(C565="", "", IFERROR(VLOOKUP(C565, Price_List!A:D, IF(Dashboard!$B$9="樂觀(Snipe)", 3, IF(Dashboard!$B$9="悲觀(Panic)", 4, 2)), 0), 0))</f>
        <v>189998</v>
      </c>
      <c r="F565" s="5">
        <f t="shared" si="8"/>
        <v>759992</v>
      </c>
    </row>
    <row r="566" spans="1:6" ht="18" x14ac:dyDescent="0.35">
      <c r="A566" s="6" t="s">
        <v>93</v>
      </c>
      <c r="B566" s="6" t="s">
        <v>151</v>
      </c>
      <c r="C566" s="6" t="s">
        <v>152</v>
      </c>
      <c r="D566" s="2">
        <v>1</v>
      </c>
      <c r="E566" s="5">
        <f>IF(C566="", "", IFERROR(VLOOKUP(C566, Price_List!A:D, IF(Dashboard!$B$9="樂觀(Snipe)", 3, IF(Dashboard!$B$9="悲觀(Panic)", 4, 2)), 0), 0))</f>
        <v>2118888</v>
      </c>
      <c r="F566" s="5">
        <f t="shared" si="8"/>
        <v>2118888</v>
      </c>
    </row>
    <row r="567" spans="1:6" ht="18" x14ac:dyDescent="0.35">
      <c r="A567" s="6" t="s">
        <v>93</v>
      </c>
      <c r="B567" s="6" t="s">
        <v>151</v>
      </c>
      <c r="C567" s="6" t="s">
        <v>105</v>
      </c>
      <c r="D567" s="2">
        <v>2</v>
      </c>
      <c r="E567" s="5">
        <f>IF(C567="", "", IFERROR(VLOOKUP(C567, Price_List!A:D, IF(Dashboard!$B$9="樂觀(Snipe)", 3, IF(Dashboard!$B$9="悲觀(Panic)", 4, 2)), 0), 0))</f>
        <v>560000</v>
      </c>
      <c r="F567" s="5">
        <f t="shared" si="8"/>
        <v>1120000</v>
      </c>
    </row>
    <row r="568" spans="1:6" ht="18" x14ac:dyDescent="0.35">
      <c r="A568" s="6" t="s">
        <v>93</v>
      </c>
      <c r="B568" s="6" t="s">
        <v>151</v>
      </c>
      <c r="C568" s="6" t="s">
        <v>94</v>
      </c>
      <c r="D568" s="2">
        <v>8</v>
      </c>
      <c r="E568" s="5">
        <f>IF(C568="", "", IFERROR(VLOOKUP(C568, Price_List!A:D, IF(Dashboard!$B$9="樂觀(Snipe)", 3, IF(Dashboard!$B$9="悲觀(Panic)", 4, 2)), 0), 0))</f>
        <v>57999</v>
      </c>
      <c r="F568" s="5">
        <f t="shared" si="8"/>
        <v>463992</v>
      </c>
    </row>
    <row r="569" spans="1:6" ht="18" x14ac:dyDescent="0.35">
      <c r="A569" s="6" t="s">
        <v>93</v>
      </c>
      <c r="B569" s="6" t="s">
        <v>151</v>
      </c>
      <c r="C569" s="6" t="s">
        <v>106</v>
      </c>
      <c r="D569" s="2">
        <v>4</v>
      </c>
      <c r="E569" s="5">
        <f>IF(C569="", "", IFERROR(VLOOKUP(C569, Price_List!A:D, IF(Dashboard!$B$9="樂觀(Snipe)", 3, IF(Dashboard!$B$9="悲觀(Panic)", 4, 2)), 0), 0))</f>
        <v>2199999</v>
      </c>
      <c r="F569" s="5">
        <f t="shared" si="8"/>
        <v>8799996</v>
      </c>
    </row>
    <row r="570" spans="1:6" ht="18" x14ac:dyDescent="0.35">
      <c r="A570" s="6" t="s">
        <v>93</v>
      </c>
      <c r="B570" s="6" t="s">
        <v>151</v>
      </c>
      <c r="C570" s="6" t="s">
        <v>153</v>
      </c>
      <c r="D570" s="2">
        <v>5</v>
      </c>
      <c r="E570" s="5">
        <f>IF(C570="", "", IFERROR(VLOOKUP(C570, Price_List!A:D, IF(Dashboard!$B$9="樂觀(Snipe)", 3, IF(Dashboard!$B$9="悲觀(Panic)", 4, 2)), 0), 0))</f>
        <v>208996</v>
      </c>
      <c r="F570" s="5">
        <f t="shared" si="8"/>
        <v>1044980</v>
      </c>
    </row>
    <row r="571" spans="1:6" ht="18" x14ac:dyDescent="0.35">
      <c r="A571" s="6" t="s">
        <v>93</v>
      </c>
      <c r="B571" s="6" t="s">
        <v>151</v>
      </c>
      <c r="C571" s="6" t="s">
        <v>108</v>
      </c>
      <c r="D571" s="2">
        <v>3</v>
      </c>
      <c r="E571" s="5">
        <f>IF(C571="", "", IFERROR(VLOOKUP(C571, Price_List!A:D, IF(Dashboard!$B$9="樂觀(Snipe)", 3, IF(Dashboard!$B$9="悲觀(Panic)", 4, 2)), 0), 0))</f>
        <v>189998</v>
      </c>
      <c r="F571" s="5">
        <f t="shared" si="8"/>
        <v>569994</v>
      </c>
    </row>
    <row r="572" spans="1:6" ht="18" x14ac:dyDescent="0.35">
      <c r="A572" s="2"/>
      <c r="B572" s="2"/>
      <c r="C572" s="2"/>
      <c r="D572" s="2"/>
      <c r="E572" s="5" t="str">
        <f>IF(C572="", "", IFERROR(VLOOKUP(C572, Price_List!A:D, IF(Dashboard!$B$9="樂觀(Snipe)", 3, IF(Dashboard!$B$9="悲觀(Panic)", 4, 2)), 0), 0))</f>
        <v/>
      </c>
      <c r="F572" s="5" t="str">
        <f t="shared" si="8"/>
        <v/>
      </c>
    </row>
    <row r="573" spans="1:6" ht="18" x14ac:dyDescent="0.35">
      <c r="A573" s="2"/>
      <c r="B573" s="2"/>
      <c r="C573" s="2"/>
      <c r="D573" s="2"/>
      <c r="E573" s="5" t="str">
        <f>IF(C573="", "", IFERROR(VLOOKUP(C573, Price_List!A:D, IF(Dashboard!$B$9="樂觀(Snipe)", 3, IF(Dashboard!$B$9="悲觀(Panic)", 4, 2)), 0), 0))</f>
        <v/>
      </c>
      <c r="F573" s="5" t="str">
        <f t="shared" si="8"/>
        <v/>
      </c>
    </row>
    <row r="574" spans="1:6" ht="18" x14ac:dyDescent="0.35">
      <c r="A574" s="2"/>
      <c r="B574" s="2"/>
      <c r="C574" s="2"/>
      <c r="D574" s="2"/>
      <c r="E574" s="5" t="str">
        <f>IF(C574="", "", IFERROR(VLOOKUP(C574, Price_List!A:D, IF(Dashboard!$B$9="樂觀(Snipe)", 3, IF(Dashboard!$B$9="悲觀(Panic)", 4, 2)), 0), 0))</f>
        <v/>
      </c>
      <c r="F574" s="5" t="str">
        <f t="shared" si="8"/>
        <v/>
      </c>
    </row>
    <row r="575" spans="1:6" ht="18" x14ac:dyDescent="0.35">
      <c r="A575" s="2"/>
      <c r="B575" s="2"/>
      <c r="C575" s="2"/>
      <c r="D575" s="2"/>
      <c r="E575" s="5" t="str">
        <f>IF(C575="", "", IFERROR(VLOOKUP(C575, Price_List!A:D, IF(Dashboard!$B$9="樂觀(Snipe)", 3, IF(Dashboard!$B$9="悲觀(Panic)", 4, 2)), 0), 0))</f>
        <v/>
      </c>
      <c r="F575" s="5" t="str">
        <f t="shared" si="8"/>
        <v/>
      </c>
    </row>
    <row r="576" spans="1:6" ht="18" x14ac:dyDescent="0.35">
      <c r="A576" s="2"/>
      <c r="B576" s="2"/>
      <c r="C576" s="2"/>
      <c r="D576" s="2"/>
      <c r="E576" s="5" t="str">
        <f>IF(C576="", "", IFERROR(VLOOKUP(C576, Price_List!A:D, IF(Dashboard!$B$9="樂觀(Snipe)", 3, IF(Dashboard!$B$9="悲觀(Panic)", 4, 2)), 0), 0))</f>
        <v/>
      </c>
      <c r="F576" s="5" t="str">
        <f t="shared" si="8"/>
        <v/>
      </c>
    </row>
    <row r="577" spans="1:6" ht="18" x14ac:dyDescent="0.35">
      <c r="A577" s="2"/>
      <c r="B577" s="2"/>
      <c r="C577" s="2"/>
      <c r="D577" s="2"/>
      <c r="E577" s="5" t="str">
        <f>IF(C577="", "", IFERROR(VLOOKUP(C577, Price_List!A:D, IF(Dashboard!$B$9="樂觀(Snipe)", 3, IF(Dashboard!$B$9="悲觀(Panic)", 4, 2)), 0), 0))</f>
        <v/>
      </c>
      <c r="F577" s="5" t="str">
        <f t="shared" si="8"/>
        <v/>
      </c>
    </row>
    <row r="578" spans="1:6" ht="18" x14ac:dyDescent="0.35">
      <c r="A578" s="2"/>
      <c r="B578" s="2"/>
      <c r="C578" s="2"/>
      <c r="D578" s="2"/>
      <c r="E578" s="5" t="str">
        <f>IF(C578="", "", IFERROR(VLOOKUP(C578, Price_List!A:D, IF(Dashboard!$B$9="樂觀(Snipe)", 3, IF(Dashboard!$B$9="悲觀(Panic)", 4, 2)), 0), 0))</f>
        <v/>
      </c>
      <c r="F578" s="5" t="str">
        <f t="shared" ref="F578:F641" si="9">IF(C578="", "", D578*E578)</f>
        <v/>
      </c>
    </row>
    <row r="579" spans="1:6" ht="18" x14ac:dyDescent="0.35">
      <c r="A579" s="2"/>
      <c r="B579" s="2"/>
      <c r="C579" s="2"/>
      <c r="D579" s="2"/>
      <c r="E579" s="5" t="str">
        <f>IF(C579="", "", IFERROR(VLOOKUP(C579, Price_List!A:D, IF(Dashboard!$B$9="樂觀(Snipe)", 3, IF(Dashboard!$B$9="悲觀(Panic)", 4, 2)), 0), 0))</f>
        <v/>
      </c>
      <c r="F579" s="5" t="str">
        <f t="shared" si="9"/>
        <v/>
      </c>
    </row>
    <row r="580" spans="1:6" ht="18" x14ac:dyDescent="0.35">
      <c r="A580" s="2"/>
      <c r="B580" s="2"/>
      <c r="C580" s="2"/>
      <c r="D580" s="2"/>
      <c r="E580" s="5" t="str">
        <f>IF(C580="", "", IFERROR(VLOOKUP(C580, Price_List!A:D, IF(Dashboard!$B$9="樂觀(Snipe)", 3, IF(Dashboard!$B$9="悲觀(Panic)", 4, 2)), 0), 0))</f>
        <v/>
      </c>
      <c r="F580" s="5" t="str">
        <f t="shared" si="9"/>
        <v/>
      </c>
    </row>
    <row r="581" spans="1:6" ht="18" x14ac:dyDescent="0.35">
      <c r="A581" s="2"/>
      <c r="B581" s="2"/>
      <c r="C581" s="2"/>
      <c r="D581" s="2"/>
      <c r="E581" s="5" t="str">
        <f>IF(C581="", "", IFERROR(VLOOKUP(C581, Price_List!A:D, IF(Dashboard!$B$9="樂觀(Snipe)", 3, IF(Dashboard!$B$9="悲觀(Panic)", 4, 2)), 0), 0))</f>
        <v/>
      </c>
      <c r="F581" s="5" t="str">
        <f t="shared" si="9"/>
        <v/>
      </c>
    </row>
    <row r="582" spans="1:6" ht="18" x14ac:dyDescent="0.35">
      <c r="A582" s="2"/>
      <c r="B582" s="2"/>
      <c r="C582" s="2"/>
      <c r="D582" s="2"/>
      <c r="E582" s="5" t="str">
        <f>IF(C582="", "", IFERROR(VLOOKUP(C582, Price_List!A:D, IF(Dashboard!$B$9="樂觀(Snipe)", 3, IF(Dashboard!$B$9="悲觀(Panic)", 4, 2)), 0), 0))</f>
        <v/>
      </c>
      <c r="F582" s="5" t="str">
        <f t="shared" si="9"/>
        <v/>
      </c>
    </row>
    <row r="583" spans="1:6" ht="18" x14ac:dyDescent="0.35">
      <c r="A583" s="2"/>
      <c r="B583" s="2"/>
      <c r="C583" s="2"/>
      <c r="D583" s="2"/>
      <c r="E583" s="5" t="str">
        <f>IF(C583="", "", IFERROR(VLOOKUP(C583, Price_List!A:D, IF(Dashboard!$B$9="樂觀(Snipe)", 3, IF(Dashboard!$B$9="悲觀(Panic)", 4, 2)), 0), 0))</f>
        <v/>
      </c>
      <c r="F583" s="5" t="str">
        <f t="shared" si="9"/>
        <v/>
      </c>
    </row>
    <row r="584" spans="1:6" ht="18" x14ac:dyDescent="0.35">
      <c r="A584" s="2"/>
      <c r="B584" s="2"/>
      <c r="C584" s="2"/>
      <c r="D584" s="2"/>
      <c r="E584" s="5" t="str">
        <f>IF(C584="", "", IFERROR(VLOOKUP(C584, Price_List!A:D, IF(Dashboard!$B$9="樂觀(Snipe)", 3, IF(Dashboard!$B$9="悲觀(Panic)", 4, 2)), 0), 0))</f>
        <v/>
      </c>
      <c r="F584" s="5" t="str">
        <f t="shared" si="9"/>
        <v/>
      </c>
    </row>
    <row r="585" spans="1:6" ht="18" x14ac:dyDescent="0.35">
      <c r="A585" s="2"/>
      <c r="B585" s="2"/>
      <c r="C585" s="2"/>
      <c r="D585" s="2"/>
      <c r="E585" s="5" t="str">
        <f>IF(C585="", "", IFERROR(VLOOKUP(C585, Price_List!A:D, IF(Dashboard!$B$9="樂觀(Snipe)", 3, IF(Dashboard!$B$9="悲觀(Panic)", 4, 2)), 0), 0))</f>
        <v/>
      </c>
      <c r="F585" s="5" t="str">
        <f t="shared" si="9"/>
        <v/>
      </c>
    </row>
    <row r="586" spans="1:6" ht="18" x14ac:dyDescent="0.35">
      <c r="A586" s="2"/>
      <c r="B586" s="2"/>
      <c r="C586" s="2"/>
      <c r="D586" s="2"/>
      <c r="E586" s="5" t="str">
        <f>IF(C586="", "", IFERROR(VLOOKUP(C586, Price_List!A:D, IF(Dashboard!$B$9="樂觀(Snipe)", 3, IF(Dashboard!$B$9="悲觀(Panic)", 4, 2)), 0), 0))</f>
        <v/>
      </c>
      <c r="F586" s="5" t="str">
        <f t="shared" si="9"/>
        <v/>
      </c>
    </row>
    <row r="587" spans="1:6" ht="18" x14ac:dyDescent="0.35">
      <c r="A587" s="2"/>
      <c r="B587" s="2"/>
      <c r="C587" s="2"/>
      <c r="D587" s="2"/>
      <c r="E587" s="5" t="str">
        <f>IF(C587="", "", IFERROR(VLOOKUP(C587, Price_List!A:D, IF(Dashboard!$B$9="樂觀(Snipe)", 3, IF(Dashboard!$B$9="悲觀(Panic)", 4, 2)), 0), 0))</f>
        <v/>
      </c>
      <c r="F587" s="5" t="str">
        <f t="shared" si="9"/>
        <v/>
      </c>
    </row>
    <row r="588" spans="1:6" ht="18" x14ac:dyDescent="0.35">
      <c r="A588" s="2"/>
      <c r="B588" s="2"/>
      <c r="C588" s="2"/>
      <c r="D588" s="2"/>
      <c r="E588" s="5" t="str">
        <f>IF(C588="", "", IFERROR(VLOOKUP(C588, Price_List!A:D, IF(Dashboard!$B$9="樂觀(Snipe)", 3, IF(Dashboard!$B$9="悲觀(Panic)", 4, 2)), 0), 0))</f>
        <v/>
      </c>
      <c r="F588" s="5" t="str">
        <f t="shared" si="9"/>
        <v/>
      </c>
    </row>
    <row r="589" spans="1:6" ht="18" x14ac:dyDescent="0.35">
      <c r="A589" s="2"/>
      <c r="B589" s="2"/>
      <c r="C589" s="2"/>
      <c r="D589" s="2"/>
      <c r="E589" s="5" t="str">
        <f>IF(C589="", "", IFERROR(VLOOKUP(C589, Price_List!A:D, IF(Dashboard!$B$9="樂觀(Snipe)", 3, IF(Dashboard!$B$9="悲觀(Panic)", 4, 2)), 0), 0))</f>
        <v/>
      </c>
      <c r="F589" s="5" t="str">
        <f t="shared" si="9"/>
        <v/>
      </c>
    </row>
    <row r="590" spans="1:6" ht="18" x14ac:dyDescent="0.35">
      <c r="A590" s="2"/>
      <c r="B590" s="2"/>
      <c r="C590" s="2"/>
      <c r="D590" s="2"/>
      <c r="E590" s="5" t="str">
        <f>IF(C590="", "", IFERROR(VLOOKUP(C590, Price_List!A:D, IF(Dashboard!$B$9="樂觀(Snipe)", 3, IF(Dashboard!$B$9="悲觀(Panic)", 4, 2)), 0), 0))</f>
        <v/>
      </c>
      <c r="F590" s="5" t="str">
        <f t="shared" si="9"/>
        <v/>
      </c>
    </row>
    <row r="591" spans="1:6" ht="18" x14ac:dyDescent="0.35">
      <c r="A591" s="2"/>
      <c r="B591" s="2"/>
      <c r="C591" s="2"/>
      <c r="D591" s="2"/>
      <c r="E591" s="5" t="str">
        <f>IF(C591="", "", IFERROR(VLOOKUP(C591, Price_List!A:D, IF(Dashboard!$B$9="樂觀(Snipe)", 3, IF(Dashboard!$B$9="悲觀(Panic)", 4, 2)), 0), 0))</f>
        <v/>
      </c>
      <c r="F591" s="5" t="str">
        <f t="shared" si="9"/>
        <v/>
      </c>
    </row>
    <row r="592" spans="1:6" ht="18" x14ac:dyDescent="0.35">
      <c r="A592" s="2"/>
      <c r="B592" s="2"/>
      <c r="C592" s="2"/>
      <c r="D592" s="2"/>
      <c r="E592" s="5" t="str">
        <f>IF(C592="", "", IFERROR(VLOOKUP(C592, Price_List!A:D, IF(Dashboard!$B$9="樂觀(Snipe)", 3, IF(Dashboard!$B$9="悲觀(Panic)", 4, 2)), 0), 0))</f>
        <v/>
      </c>
      <c r="F592" s="5" t="str">
        <f t="shared" si="9"/>
        <v/>
      </c>
    </row>
    <row r="593" spans="1:6" ht="18" x14ac:dyDescent="0.35">
      <c r="A593" s="2"/>
      <c r="B593" s="2"/>
      <c r="C593" s="2"/>
      <c r="D593" s="2"/>
      <c r="E593" s="5" t="str">
        <f>IF(C593="", "", IFERROR(VLOOKUP(C593, Price_List!A:D, IF(Dashboard!$B$9="樂觀(Snipe)", 3, IF(Dashboard!$B$9="悲觀(Panic)", 4, 2)), 0), 0))</f>
        <v/>
      </c>
      <c r="F593" s="5" t="str">
        <f t="shared" si="9"/>
        <v/>
      </c>
    </row>
    <row r="594" spans="1:6" ht="18" x14ac:dyDescent="0.35">
      <c r="A594" s="2"/>
      <c r="B594" s="2"/>
      <c r="C594" s="2"/>
      <c r="D594" s="2"/>
      <c r="E594" s="5" t="str">
        <f>IF(C594="", "", IFERROR(VLOOKUP(C594, Price_List!A:D, IF(Dashboard!$B$9="樂觀(Snipe)", 3, IF(Dashboard!$B$9="悲觀(Panic)", 4, 2)), 0), 0))</f>
        <v/>
      </c>
      <c r="F594" s="5" t="str">
        <f t="shared" si="9"/>
        <v/>
      </c>
    </row>
    <row r="595" spans="1:6" ht="18" x14ac:dyDescent="0.35">
      <c r="A595" s="2"/>
      <c r="B595" s="2"/>
      <c r="C595" s="2"/>
      <c r="D595" s="2"/>
      <c r="E595" s="5" t="str">
        <f>IF(C595="", "", IFERROR(VLOOKUP(C595, Price_List!A:D, IF(Dashboard!$B$9="樂觀(Snipe)", 3, IF(Dashboard!$B$9="悲觀(Panic)", 4, 2)), 0), 0))</f>
        <v/>
      </c>
      <c r="F595" s="5" t="str">
        <f t="shared" si="9"/>
        <v/>
      </c>
    </row>
    <row r="596" spans="1:6" ht="18" x14ac:dyDescent="0.35">
      <c r="A596" s="2"/>
      <c r="B596" s="2"/>
      <c r="C596" s="2"/>
      <c r="D596" s="2"/>
      <c r="E596" s="5" t="str">
        <f>IF(C596="", "", IFERROR(VLOOKUP(C596, Price_List!A:D, IF(Dashboard!$B$9="樂觀(Snipe)", 3, IF(Dashboard!$B$9="悲觀(Panic)", 4, 2)), 0), 0))</f>
        <v/>
      </c>
      <c r="F596" s="5" t="str">
        <f t="shared" si="9"/>
        <v/>
      </c>
    </row>
    <row r="597" spans="1:6" ht="18" x14ac:dyDescent="0.35">
      <c r="A597" s="2"/>
      <c r="B597" s="2"/>
      <c r="C597" s="2"/>
      <c r="D597" s="2"/>
      <c r="E597" s="5" t="str">
        <f>IF(C597="", "", IFERROR(VLOOKUP(C597, Price_List!A:D, IF(Dashboard!$B$9="樂觀(Snipe)", 3, IF(Dashboard!$B$9="悲觀(Panic)", 4, 2)), 0), 0))</f>
        <v/>
      </c>
      <c r="F597" s="5" t="str">
        <f t="shared" si="9"/>
        <v/>
      </c>
    </row>
    <row r="598" spans="1:6" ht="18" x14ac:dyDescent="0.35">
      <c r="A598" s="2"/>
      <c r="B598" s="2"/>
      <c r="C598" s="2"/>
      <c r="D598" s="2"/>
      <c r="E598" s="5" t="str">
        <f>IF(C598="", "", IFERROR(VLOOKUP(C598, Price_List!A:D, IF(Dashboard!$B$9="樂觀(Snipe)", 3, IF(Dashboard!$B$9="悲觀(Panic)", 4, 2)), 0), 0))</f>
        <v/>
      </c>
      <c r="F598" s="5" t="str">
        <f t="shared" si="9"/>
        <v/>
      </c>
    </row>
    <row r="599" spans="1:6" ht="18" x14ac:dyDescent="0.35">
      <c r="A599" s="2"/>
      <c r="B599" s="2"/>
      <c r="C599" s="2"/>
      <c r="D599" s="2"/>
      <c r="E599" s="5" t="str">
        <f>IF(C599="", "", IFERROR(VLOOKUP(C599, Price_List!A:D, IF(Dashboard!$B$9="樂觀(Snipe)", 3, IF(Dashboard!$B$9="悲觀(Panic)", 4, 2)), 0), 0))</f>
        <v/>
      </c>
      <c r="F599" s="5" t="str">
        <f t="shared" si="9"/>
        <v/>
      </c>
    </row>
    <row r="600" spans="1:6" ht="18" x14ac:dyDescent="0.35">
      <c r="A600" s="2"/>
      <c r="B600" s="2"/>
      <c r="C600" s="2"/>
      <c r="D600" s="2"/>
      <c r="E600" s="5" t="str">
        <f>IF(C600="", "", IFERROR(VLOOKUP(C600, Price_List!A:D, IF(Dashboard!$B$9="樂觀(Snipe)", 3, IF(Dashboard!$B$9="悲觀(Panic)", 4, 2)), 0), 0))</f>
        <v/>
      </c>
      <c r="F600" s="5" t="str">
        <f t="shared" si="9"/>
        <v/>
      </c>
    </row>
    <row r="601" spans="1:6" ht="18" x14ac:dyDescent="0.35">
      <c r="A601" s="2"/>
      <c r="B601" s="2"/>
      <c r="C601" s="2"/>
      <c r="D601" s="2"/>
      <c r="E601" s="5" t="str">
        <f>IF(C601="", "", IFERROR(VLOOKUP(C601, Price_List!A:D, IF(Dashboard!$B$9="樂觀(Snipe)", 3, IF(Dashboard!$B$9="悲觀(Panic)", 4, 2)), 0), 0))</f>
        <v/>
      </c>
      <c r="F601" s="5" t="str">
        <f t="shared" si="9"/>
        <v/>
      </c>
    </row>
    <row r="602" spans="1:6" ht="18" x14ac:dyDescent="0.35">
      <c r="A602" s="2"/>
      <c r="B602" s="2"/>
      <c r="C602" s="2"/>
      <c r="D602" s="2"/>
      <c r="E602" s="5" t="str">
        <f>IF(C602="", "", IFERROR(VLOOKUP(C602, Price_List!A:D, IF(Dashboard!$B$9="樂觀(Snipe)", 3, IF(Dashboard!$B$9="悲觀(Panic)", 4, 2)), 0), 0))</f>
        <v/>
      </c>
      <c r="F602" s="5" t="str">
        <f t="shared" si="9"/>
        <v/>
      </c>
    </row>
    <row r="603" spans="1:6" ht="18" x14ac:dyDescent="0.35">
      <c r="A603" s="2"/>
      <c r="B603" s="2"/>
      <c r="C603" s="2"/>
      <c r="D603" s="2"/>
      <c r="E603" s="5" t="str">
        <f>IF(C603="", "", IFERROR(VLOOKUP(C603, Price_List!A:D, IF(Dashboard!$B$9="樂觀(Snipe)", 3, IF(Dashboard!$B$9="悲觀(Panic)", 4, 2)), 0), 0))</f>
        <v/>
      </c>
      <c r="F603" s="5" t="str">
        <f t="shared" si="9"/>
        <v/>
      </c>
    </row>
    <row r="604" spans="1:6" ht="18" x14ac:dyDescent="0.35">
      <c r="A604" s="2"/>
      <c r="B604" s="2"/>
      <c r="C604" s="2"/>
      <c r="D604" s="2"/>
      <c r="E604" s="5" t="str">
        <f>IF(C604="", "", IFERROR(VLOOKUP(C604, Price_List!A:D, IF(Dashboard!$B$9="樂觀(Snipe)", 3, IF(Dashboard!$B$9="悲觀(Panic)", 4, 2)), 0), 0))</f>
        <v/>
      </c>
      <c r="F604" s="5" t="str">
        <f t="shared" si="9"/>
        <v/>
      </c>
    </row>
    <row r="605" spans="1:6" ht="18" x14ac:dyDescent="0.35">
      <c r="A605" s="2"/>
      <c r="B605" s="2"/>
      <c r="C605" s="2"/>
      <c r="D605" s="2"/>
      <c r="E605" s="5" t="str">
        <f>IF(C605="", "", IFERROR(VLOOKUP(C605, Price_List!A:D, IF(Dashboard!$B$9="樂觀(Snipe)", 3, IF(Dashboard!$B$9="悲觀(Panic)", 4, 2)), 0), 0))</f>
        <v/>
      </c>
      <c r="F605" s="5" t="str">
        <f t="shared" si="9"/>
        <v/>
      </c>
    </row>
    <row r="606" spans="1:6" ht="18" x14ac:dyDescent="0.35">
      <c r="A606" s="2"/>
      <c r="B606" s="2"/>
      <c r="C606" s="2"/>
      <c r="D606" s="2"/>
      <c r="E606" s="5" t="str">
        <f>IF(C606="", "", IFERROR(VLOOKUP(C606, Price_List!A:D, IF(Dashboard!$B$9="樂觀(Snipe)", 3, IF(Dashboard!$B$9="悲觀(Panic)", 4, 2)), 0), 0))</f>
        <v/>
      </c>
      <c r="F606" s="5" t="str">
        <f t="shared" si="9"/>
        <v/>
      </c>
    </row>
    <row r="607" spans="1:6" ht="18" x14ac:dyDescent="0.35">
      <c r="A607" s="2"/>
      <c r="B607" s="2"/>
      <c r="C607" s="2"/>
      <c r="D607" s="2"/>
      <c r="E607" s="5" t="str">
        <f>IF(C607="", "", IFERROR(VLOOKUP(C607, Price_List!A:D, IF(Dashboard!$B$9="樂觀(Snipe)", 3, IF(Dashboard!$B$9="悲觀(Panic)", 4, 2)), 0), 0))</f>
        <v/>
      </c>
      <c r="F607" s="5" t="str">
        <f t="shared" si="9"/>
        <v/>
      </c>
    </row>
    <row r="608" spans="1:6" ht="18" x14ac:dyDescent="0.35">
      <c r="A608" s="2"/>
      <c r="B608" s="2"/>
      <c r="C608" s="2"/>
      <c r="D608" s="2"/>
      <c r="E608" s="5" t="str">
        <f>IF(C608="", "", IFERROR(VLOOKUP(C608, Price_List!A:D, IF(Dashboard!$B$9="樂觀(Snipe)", 3, IF(Dashboard!$B$9="悲觀(Panic)", 4, 2)), 0), 0))</f>
        <v/>
      </c>
      <c r="F608" s="5" t="str">
        <f t="shared" si="9"/>
        <v/>
      </c>
    </row>
    <row r="609" spans="1:6" ht="18" x14ac:dyDescent="0.35">
      <c r="A609" s="2"/>
      <c r="B609" s="2"/>
      <c r="C609" s="2"/>
      <c r="D609" s="2"/>
      <c r="E609" s="5" t="str">
        <f>IF(C609="", "", IFERROR(VLOOKUP(C609, Price_List!A:D, IF(Dashboard!$B$9="樂觀(Snipe)", 3, IF(Dashboard!$B$9="悲觀(Panic)", 4, 2)), 0), 0))</f>
        <v/>
      </c>
      <c r="F609" s="5" t="str">
        <f t="shared" si="9"/>
        <v/>
      </c>
    </row>
    <row r="610" spans="1:6" ht="18" x14ac:dyDescent="0.35">
      <c r="A610" s="2"/>
      <c r="B610" s="2"/>
      <c r="C610" s="2"/>
      <c r="D610" s="2"/>
      <c r="E610" s="5" t="str">
        <f>IF(C610="", "", IFERROR(VLOOKUP(C610, Price_List!A:D, IF(Dashboard!$B$9="樂觀(Snipe)", 3, IF(Dashboard!$B$9="悲觀(Panic)", 4, 2)), 0), 0))</f>
        <v/>
      </c>
      <c r="F610" s="5" t="str">
        <f t="shared" si="9"/>
        <v/>
      </c>
    </row>
    <row r="611" spans="1:6" ht="18" x14ac:dyDescent="0.35">
      <c r="A611" s="2"/>
      <c r="B611" s="2"/>
      <c r="C611" s="2"/>
      <c r="D611" s="2"/>
      <c r="E611" s="5" t="str">
        <f>IF(C611="", "", IFERROR(VLOOKUP(C611, Price_List!A:D, IF(Dashboard!$B$9="樂觀(Snipe)", 3, IF(Dashboard!$B$9="悲觀(Panic)", 4, 2)), 0), 0))</f>
        <v/>
      </c>
      <c r="F611" s="5" t="str">
        <f t="shared" si="9"/>
        <v/>
      </c>
    </row>
    <row r="612" spans="1:6" ht="18" x14ac:dyDescent="0.35">
      <c r="A612" s="2"/>
      <c r="B612" s="2"/>
      <c r="C612" s="2"/>
      <c r="D612" s="2"/>
      <c r="E612" s="5" t="str">
        <f>IF(C612="", "", IFERROR(VLOOKUP(C612, Price_List!A:D, IF(Dashboard!$B$9="樂觀(Snipe)", 3, IF(Dashboard!$B$9="悲觀(Panic)", 4, 2)), 0), 0))</f>
        <v/>
      </c>
      <c r="F612" s="5" t="str">
        <f t="shared" si="9"/>
        <v/>
      </c>
    </row>
    <row r="613" spans="1:6" ht="18" x14ac:dyDescent="0.35">
      <c r="A613" s="2"/>
      <c r="B613" s="2"/>
      <c r="C613" s="2"/>
      <c r="D613" s="2"/>
      <c r="E613" s="5" t="str">
        <f>IF(C613="", "", IFERROR(VLOOKUP(C613, Price_List!A:D, IF(Dashboard!$B$9="樂觀(Snipe)", 3, IF(Dashboard!$B$9="悲觀(Panic)", 4, 2)), 0), 0))</f>
        <v/>
      </c>
      <c r="F613" s="5" t="str">
        <f t="shared" si="9"/>
        <v/>
      </c>
    </row>
    <row r="614" spans="1:6" ht="18" x14ac:dyDescent="0.35">
      <c r="A614" s="2"/>
      <c r="B614" s="2"/>
      <c r="C614" s="2"/>
      <c r="D614" s="2"/>
      <c r="E614" s="5" t="str">
        <f>IF(C614="", "", IFERROR(VLOOKUP(C614, Price_List!A:D, IF(Dashboard!$B$9="樂觀(Snipe)", 3, IF(Dashboard!$B$9="悲觀(Panic)", 4, 2)), 0), 0))</f>
        <v/>
      </c>
      <c r="F614" s="5" t="str">
        <f t="shared" si="9"/>
        <v/>
      </c>
    </row>
    <row r="615" spans="1:6" ht="18" x14ac:dyDescent="0.35">
      <c r="A615" s="2"/>
      <c r="B615" s="2"/>
      <c r="C615" s="2"/>
      <c r="D615" s="2"/>
      <c r="E615" s="5" t="str">
        <f>IF(C615="", "", IFERROR(VLOOKUP(C615, Price_List!A:D, IF(Dashboard!$B$9="樂觀(Snipe)", 3, IF(Dashboard!$B$9="悲觀(Panic)", 4, 2)), 0), 0))</f>
        <v/>
      </c>
      <c r="F615" s="5" t="str">
        <f t="shared" si="9"/>
        <v/>
      </c>
    </row>
    <row r="616" spans="1:6" ht="18" x14ac:dyDescent="0.35">
      <c r="A616" s="2"/>
      <c r="B616" s="2"/>
      <c r="C616" s="2"/>
      <c r="D616" s="2"/>
      <c r="E616" s="5" t="str">
        <f>IF(C616="", "", IFERROR(VLOOKUP(C616, Price_List!A:D, IF(Dashboard!$B$9="樂觀(Snipe)", 3, IF(Dashboard!$B$9="悲觀(Panic)", 4, 2)), 0), 0))</f>
        <v/>
      </c>
      <c r="F616" s="5" t="str">
        <f t="shared" si="9"/>
        <v/>
      </c>
    </row>
    <row r="617" spans="1:6" ht="18" x14ac:dyDescent="0.35">
      <c r="A617" s="2"/>
      <c r="B617" s="2"/>
      <c r="C617" s="2"/>
      <c r="D617" s="2"/>
      <c r="E617" s="5" t="str">
        <f>IF(C617="", "", IFERROR(VLOOKUP(C617, Price_List!A:D, IF(Dashboard!$B$9="樂觀(Snipe)", 3, IF(Dashboard!$B$9="悲觀(Panic)", 4, 2)), 0), 0))</f>
        <v/>
      </c>
      <c r="F617" s="5" t="str">
        <f t="shared" si="9"/>
        <v/>
      </c>
    </row>
    <row r="618" spans="1:6" ht="18" x14ac:dyDescent="0.35">
      <c r="A618" s="2"/>
      <c r="B618" s="2"/>
      <c r="C618" s="2"/>
      <c r="D618" s="2"/>
      <c r="E618" s="5" t="str">
        <f>IF(C618="", "", IFERROR(VLOOKUP(C618, Price_List!A:D, IF(Dashboard!$B$9="樂觀(Snipe)", 3, IF(Dashboard!$B$9="悲觀(Panic)", 4, 2)), 0), 0))</f>
        <v/>
      </c>
      <c r="F618" s="5" t="str">
        <f t="shared" si="9"/>
        <v/>
      </c>
    </row>
    <row r="619" spans="1:6" ht="18" x14ac:dyDescent="0.35">
      <c r="A619" s="2"/>
      <c r="B619" s="2"/>
      <c r="C619" s="2"/>
      <c r="D619" s="2"/>
      <c r="E619" s="5" t="str">
        <f>IF(C619="", "", IFERROR(VLOOKUP(C619, Price_List!A:D, IF(Dashboard!$B$9="樂觀(Snipe)", 3, IF(Dashboard!$B$9="悲觀(Panic)", 4, 2)), 0), 0))</f>
        <v/>
      </c>
      <c r="F619" s="5" t="str">
        <f t="shared" si="9"/>
        <v/>
      </c>
    </row>
    <row r="620" spans="1:6" ht="18" x14ac:dyDescent="0.35">
      <c r="A620" s="2"/>
      <c r="B620" s="2"/>
      <c r="C620" s="2"/>
      <c r="D620" s="2"/>
      <c r="E620" s="5" t="str">
        <f>IF(C620="", "", IFERROR(VLOOKUP(C620, Price_List!A:D, IF(Dashboard!$B$9="樂觀(Snipe)", 3, IF(Dashboard!$B$9="悲觀(Panic)", 4, 2)), 0), 0))</f>
        <v/>
      </c>
      <c r="F620" s="5" t="str">
        <f t="shared" si="9"/>
        <v/>
      </c>
    </row>
    <row r="621" spans="1:6" ht="18" x14ac:dyDescent="0.35">
      <c r="A621" s="2"/>
      <c r="B621" s="2"/>
      <c r="C621" s="2"/>
      <c r="D621" s="2"/>
      <c r="E621" s="5" t="str">
        <f>IF(C621="", "", IFERROR(VLOOKUP(C621, Price_List!A:D, IF(Dashboard!$B$9="樂觀(Snipe)", 3, IF(Dashboard!$B$9="悲觀(Panic)", 4, 2)), 0), 0))</f>
        <v/>
      </c>
      <c r="F621" s="5" t="str">
        <f t="shared" si="9"/>
        <v/>
      </c>
    </row>
    <row r="622" spans="1:6" ht="18" x14ac:dyDescent="0.35">
      <c r="A622" s="2"/>
      <c r="B622" s="2"/>
      <c r="C622" s="2"/>
      <c r="D622" s="2"/>
      <c r="E622" s="5" t="str">
        <f>IF(C622="", "", IFERROR(VLOOKUP(C622, Price_List!A:D, IF(Dashboard!$B$9="樂觀(Snipe)", 3, IF(Dashboard!$B$9="悲觀(Panic)", 4, 2)), 0), 0))</f>
        <v/>
      </c>
      <c r="F622" s="5" t="str">
        <f t="shared" si="9"/>
        <v/>
      </c>
    </row>
    <row r="623" spans="1:6" ht="18" x14ac:dyDescent="0.35">
      <c r="A623" s="2"/>
      <c r="B623" s="2"/>
      <c r="C623" s="2"/>
      <c r="D623" s="2"/>
      <c r="E623" s="5" t="str">
        <f>IF(C623="", "", IFERROR(VLOOKUP(C623, Price_List!A:D, IF(Dashboard!$B$9="樂觀(Snipe)", 3, IF(Dashboard!$B$9="悲觀(Panic)", 4, 2)), 0), 0))</f>
        <v/>
      </c>
      <c r="F623" s="5" t="str">
        <f t="shared" si="9"/>
        <v/>
      </c>
    </row>
    <row r="624" spans="1:6" ht="18" x14ac:dyDescent="0.35">
      <c r="A624" s="2"/>
      <c r="B624" s="2"/>
      <c r="C624" s="2"/>
      <c r="D624" s="2"/>
      <c r="E624" s="5" t="str">
        <f>IF(C624="", "", IFERROR(VLOOKUP(C624, Price_List!A:D, IF(Dashboard!$B$9="樂觀(Snipe)", 3, IF(Dashboard!$B$9="悲觀(Panic)", 4, 2)), 0), 0))</f>
        <v/>
      </c>
      <c r="F624" s="5" t="str">
        <f t="shared" si="9"/>
        <v/>
      </c>
    </row>
    <row r="625" spans="1:6" ht="18" x14ac:dyDescent="0.35">
      <c r="A625" s="2"/>
      <c r="B625" s="2"/>
      <c r="C625" s="2"/>
      <c r="D625" s="2"/>
      <c r="E625" s="5" t="str">
        <f>IF(C625="", "", IFERROR(VLOOKUP(C625, Price_List!A:D, IF(Dashboard!$B$9="樂觀(Snipe)", 3, IF(Dashboard!$B$9="悲觀(Panic)", 4, 2)), 0), 0))</f>
        <v/>
      </c>
      <c r="F625" s="5" t="str">
        <f t="shared" si="9"/>
        <v/>
      </c>
    </row>
    <row r="626" spans="1:6" ht="18" x14ac:dyDescent="0.35">
      <c r="A626" s="2"/>
      <c r="B626" s="2"/>
      <c r="C626" s="2"/>
      <c r="D626" s="2"/>
      <c r="E626" s="5" t="str">
        <f>IF(C626="", "", IFERROR(VLOOKUP(C626, Price_List!A:D, IF(Dashboard!$B$9="樂觀(Snipe)", 3, IF(Dashboard!$B$9="悲觀(Panic)", 4, 2)), 0), 0))</f>
        <v/>
      </c>
      <c r="F626" s="5" t="str">
        <f t="shared" si="9"/>
        <v/>
      </c>
    </row>
    <row r="627" spans="1:6" ht="18" x14ac:dyDescent="0.35">
      <c r="A627" s="2"/>
      <c r="B627" s="2"/>
      <c r="C627" s="2"/>
      <c r="D627" s="2"/>
      <c r="E627" s="5" t="str">
        <f>IF(C627="", "", IFERROR(VLOOKUP(C627, Price_List!A:D, IF(Dashboard!$B$9="樂觀(Snipe)", 3, IF(Dashboard!$B$9="悲觀(Panic)", 4, 2)), 0), 0))</f>
        <v/>
      </c>
      <c r="F627" s="5" t="str">
        <f t="shared" si="9"/>
        <v/>
      </c>
    </row>
    <row r="628" spans="1:6" ht="18" x14ac:dyDescent="0.35">
      <c r="A628" s="2"/>
      <c r="B628" s="2"/>
      <c r="C628" s="2"/>
      <c r="D628" s="2"/>
      <c r="E628" s="5" t="str">
        <f>IF(C628="", "", IFERROR(VLOOKUP(C628, Price_List!A:D, IF(Dashboard!$B$9="樂觀(Snipe)", 3, IF(Dashboard!$B$9="悲觀(Panic)", 4, 2)), 0), 0))</f>
        <v/>
      </c>
      <c r="F628" s="5" t="str">
        <f t="shared" si="9"/>
        <v/>
      </c>
    </row>
    <row r="629" spans="1:6" ht="18" x14ac:dyDescent="0.35">
      <c r="A629" s="2"/>
      <c r="B629" s="2"/>
      <c r="C629" s="2"/>
      <c r="D629" s="2"/>
      <c r="E629" s="5" t="str">
        <f>IF(C629="", "", IFERROR(VLOOKUP(C629, Price_List!A:D, IF(Dashboard!$B$9="樂觀(Snipe)", 3, IF(Dashboard!$B$9="悲觀(Panic)", 4, 2)), 0), 0))</f>
        <v/>
      </c>
      <c r="F629" s="5" t="str">
        <f t="shared" si="9"/>
        <v/>
      </c>
    </row>
    <row r="630" spans="1:6" ht="18" x14ac:dyDescent="0.35">
      <c r="A630" s="2"/>
      <c r="B630" s="2"/>
      <c r="C630" s="2"/>
      <c r="D630" s="2"/>
      <c r="E630" s="5" t="str">
        <f>IF(C630="", "", IFERROR(VLOOKUP(C630, Price_List!A:D, IF(Dashboard!$B$9="樂觀(Snipe)", 3, IF(Dashboard!$B$9="悲觀(Panic)", 4, 2)), 0), 0))</f>
        <v/>
      </c>
      <c r="F630" s="5" t="str">
        <f t="shared" si="9"/>
        <v/>
      </c>
    </row>
    <row r="631" spans="1:6" ht="18" x14ac:dyDescent="0.35">
      <c r="A631" s="2"/>
      <c r="B631" s="2"/>
      <c r="C631" s="2"/>
      <c r="D631" s="2"/>
      <c r="E631" s="5" t="str">
        <f>IF(C631="", "", IFERROR(VLOOKUP(C631, Price_List!A:D, IF(Dashboard!$B$9="樂觀(Snipe)", 3, IF(Dashboard!$B$9="悲觀(Panic)", 4, 2)), 0), 0))</f>
        <v/>
      </c>
      <c r="F631" s="5" t="str">
        <f t="shared" si="9"/>
        <v/>
      </c>
    </row>
    <row r="632" spans="1:6" ht="18" x14ac:dyDescent="0.35">
      <c r="A632" s="2"/>
      <c r="B632" s="2"/>
      <c r="C632" s="2"/>
      <c r="D632" s="2"/>
      <c r="E632" s="5" t="str">
        <f>IF(C632="", "", IFERROR(VLOOKUP(C632, Price_List!A:D, IF(Dashboard!$B$9="樂觀(Snipe)", 3, IF(Dashboard!$B$9="悲觀(Panic)", 4, 2)), 0), 0))</f>
        <v/>
      </c>
      <c r="F632" s="5" t="str">
        <f t="shared" si="9"/>
        <v/>
      </c>
    </row>
    <row r="633" spans="1:6" ht="18" x14ac:dyDescent="0.35">
      <c r="A633" s="2"/>
      <c r="B633" s="2"/>
      <c r="C633" s="2"/>
      <c r="D633" s="2"/>
      <c r="E633" s="5" t="str">
        <f>IF(C633="", "", IFERROR(VLOOKUP(C633, Price_List!A:D, IF(Dashboard!$B$9="樂觀(Snipe)", 3, IF(Dashboard!$B$9="悲觀(Panic)", 4, 2)), 0), 0))</f>
        <v/>
      </c>
      <c r="F633" s="5" t="str">
        <f t="shared" si="9"/>
        <v/>
      </c>
    </row>
    <row r="634" spans="1:6" ht="18" x14ac:dyDescent="0.35">
      <c r="A634" s="2"/>
      <c r="B634" s="2"/>
      <c r="C634" s="2"/>
      <c r="D634" s="2"/>
      <c r="E634" s="5" t="str">
        <f>IF(C634="", "", IFERROR(VLOOKUP(C634, Price_List!A:D, IF(Dashboard!$B$9="樂觀(Snipe)", 3, IF(Dashboard!$B$9="悲觀(Panic)", 4, 2)), 0), 0))</f>
        <v/>
      </c>
      <c r="F634" s="5" t="str">
        <f t="shared" si="9"/>
        <v/>
      </c>
    </row>
    <row r="635" spans="1:6" ht="18" x14ac:dyDescent="0.35">
      <c r="A635" s="2"/>
      <c r="B635" s="2"/>
      <c r="C635" s="2"/>
      <c r="D635" s="2"/>
      <c r="E635" s="5" t="str">
        <f>IF(C635="", "", IFERROR(VLOOKUP(C635, Price_List!A:D, IF(Dashboard!$B$9="樂觀(Snipe)", 3, IF(Dashboard!$B$9="悲觀(Panic)", 4, 2)), 0), 0))</f>
        <v/>
      </c>
      <c r="F635" s="5" t="str">
        <f t="shared" si="9"/>
        <v/>
      </c>
    </row>
    <row r="636" spans="1:6" ht="18" x14ac:dyDescent="0.35">
      <c r="A636" s="2"/>
      <c r="B636" s="2"/>
      <c r="C636" s="2"/>
      <c r="D636" s="2"/>
      <c r="E636" s="5" t="str">
        <f>IF(C636="", "", IFERROR(VLOOKUP(C636, Price_List!A:D, IF(Dashboard!$B$9="樂觀(Snipe)", 3, IF(Dashboard!$B$9="悲觀(Panic)", 4, 2)), 0), 0))</f>
        <v/>
      </c>
      <c r="F636" s="5" t="str">
        <f t="shared" si="9"/>
        <v/>
      </c>
    </row>
    <row r="637" spans="1:6" ht="18" x14ac:dyDescent="0.35">
      <c r="A637" s="2"/>
      <c r="B637" s="2"/>
      <c r="C637" s="2"/>
      <c r="D637" s="2"/>
      <c r="E637" s="5" t="str">
        <f>IF(C637="", "", IFERROR(VLOOKUP(C637, Price_List!A:D, IF(Dashboard!$B$9="樂觀(Snipe)", 3, IF(Dashboard!$B$9="悲觀(Panic)", 4, 2)), 0), 0))</f>
        <v/>
      </c>
      <c r="F637" s="5" t="str">
        <f t="shared" si="9"/>
        <v/>
      </c>
    </row>
    <row r="638" spans="1:6" ht="18" x14ac:dyDescent="0.35">
      <c r="A638" s="2"/>
      <c r="B638" s="2"/>
      <c r="C638" s="2"/>
      <c r="D638" s="2"/>
      <c r="E638" s="5" t="str">
        <f>IF(C638="", "", IFERROR(VLOOKUP(C638, Price_List!A:D, IF(Dashboard!$B$9="樂觀(Snipe)", 3, IF(Dashboard!$B$9="悲觀(Panic)", 4, 2)), 0), 0))</f>
        <v/>
      </c>
      <c r="F638" s="5" t="str">
        <f t="shared" si="9"/>
        <v/>
      </c>
    </row>
    <row r="639" spans="1:6" ht="18" x14ac:dyDescent="0.35">
      <c r="A639" s="2"/>
      <c r="B639" s="2"/>
      <c r="C639" s="2"/>
      <c r="D639" s="2"/>
      <c r="E639" s="5" t="str">
        <f>IF(C639="", "", IFERROR(VLOOKUP(C639, Price_List!A:D, IF(Dashboard!$B$9="樂觀(Snipe)", 3, IF(Dashboard!$B$9="悲觀(Panic)", 4, 2)), 0), 0))</f>
        <v/>
      </c>
      <c r="F639" s="5" t="str">
        <f t="shared" si="9"/>
        <v/>
      </c>
    </row>
    <row r="640" spans="1:6" ht="18" x14ac:dyDescent="0.35">
      <c r="A640" s="2"/>
      <c r="B640" s="2"/>
      <c r="C640" s="2"/>
      <c r="D640" s="2"/>
      <c r="E640" s="5" t="str">
        <f>IF(C640="", "", IFERROR(VLOOKUP(C640, Price_List!A:D, IF(Dashboard!$B$9="樂觀(Snipe)", 3, IF(Dashboard!$B$9="悲觀(Panic)", 4, 2)), 0), 0))</f>
        <v/>
      </c>
      <c r="F640" s="5" t="str">
        <f t="shared" si="9"/>
        <v/>
      </c>
    </row>
    <row r="641" spans="1:6" ht="18" x14ac:dyDescent="0.35">
      <c r="A641" s="2"/>
      <c r="B641" s="2"/>
      <c r="C641" s="2"/>
      <c r="D641" s="2"/>
      <c r="E641" s="5" t="str">
        <f>IF(C641="", "", IFERROR(VLOOKUP(C641, Price_List!A:D, IF(Dashboard!$B$9="樂觀(Snipe)", 3, IF(Dashboard!$B$9="悲觀(Panic)", 4, 2)), 0), 0))</f>
        <v/>
      </c>
      <c r="F641" s="5" t="str">
        <f t="shared" si="9"/>
        <v/>
      </c>
    </row>
    <row r="642" spans="1:6" ht="18" x14ac:dyDescent="0.35">
      <c r="A642" s="2"/>
      <c r="B642" s="2"/>
      <c r="C642" s="2"/>
      <c r="D642" s="2"/>
      <c r="E642" s="5" t="str">
        <f>IF(C642="", "", IFERROR(VLOOKUP(C642, Price_List!A:D, IF(Dashboard!$B$9="樂觀(Snipe)", 3, IF(Dashboard!$B$9="悲觀(Panic)", 4, 2)), 0), 0))</f>
        <v/>
      </c>
      <c r="F642" s="5" t="str">
        <f t="shared" ref="F642:F705" si="10">IF(C642="", "", D642*E642)</f>
        <v/>
      </c>
    </row>
    <row r="643" spans="1:6" ht="18" x14ac:dyDescent="0.35">
      <c r="A643" s="2"/>
      <c r="B643" s="2"/>
      <c r="C643" s="2"/>
      <c r="D643" s="2"/>
      <c r="E643" s="5" t="str">
        <f>IF(C643="", "", IFERROR(VLOOKUP(C643, Price_List!A:D, IF(Dashboard!$B$9="樂觀(Snipe)", 3, IF(Dashboard!$B$9="悲觀(Panic)", 4, 2)), 0), 0))</f>
        <v/>
      </c>
      <c r="F643" s="5" t="str">
        <f t="shared" si="10"/>
        <v/>
      </c>
    </row>
    <row r="644" spans="1:6" ht="18" x14ac:dyDescent="0.35">
      <c r="A644" s="2"/>
      <c r="B644" s="2"/>
      <c r="C644" s="2"/>
      <c r="D644" s="2"/>
      <c r="E644" s="5" t="str">
        <f>IF(C644="", "", IFERROR(VLOOKUP(C644, Price_List!A:D, IF(Dashboard!$B$9="樂觀(Snipe)", 3, IF(Dashboard!$B$9="悲觀(Panic)", 4, 2)), 0), 0))</f>
        <v/>
      </c>
      <c r="F644" s="5" t="str">
        <f t="shared" si="10"/>
        <v/>
      </c>
    </row>
    <row r="645" spans="1:6" ht="18" x14ac:dyDescent="0.35">
      <c r="A645" s="2"/>
      <c r="B645" s="2"/>
      <c r="C645" s="2"/>
      <c r="D645" s="2"/>
      <c r="E645" s="5" t="str">
        <f>IF(C645="", "", IFERROR(VLOOKUP(C645, Price_List!A:D, IF(Dashboard!$B$9="樂觀(Snipe)", 3, IF(Dashboard!$B$9="悲觀(Panic)", 4, 2)), 0), 0))</f>
        <v/>
      </c>
      <c r="F645" s="5" t="str">
        <f t="shared" si="10"/>
        <v/>
      </c>
    </row>
    <row r="646" spans="1:6" ht="18" x14ac:dyDescent="0.35">
      <c r="A646" s="2"/>
      <c r="B646" s="2"/>
      <c r="C646" s="2"/>
      <c r="D646" s="2"/>
      <c r="E646" s="5" t="str">
        <f>IF(C646="", "", IFERROR(VLOOKUP(C646, Price_List!A:D, IF(Dashboard!$B$9="樂觀(Snipe)", 3, IF(Dashboard!$B$9="悲觀(Panic)", 4, 2)), 0), 0))</f>
        <v/>
      </c>
      <c r="F646" s="5" t="str">
        <f t="shared" si="10"/>
        <v/>
      </c>
    </row>
    <row r="647" spans="1:6" ht="18" x14ac:dyDescent="0.35">
      <c r="A647" s="2"/>
      <c r="B647" s="2"/>
      <c r="C647" s="2"/>
      <c r="D647" s="2"/>
      <c r="E647" s="5" t="str">
        <f>IF(C647="", "", IFERROR(VLOOKUP(C647, Price_List!A:D, IF(Dashboard!$B$9="樂觀(Snipe)", 3, IF(Dashboard!$B$9="悲觀(Panic)", 4, 2)), 0), 0))</f>
        <v/>
      </c>
      <c r="F647" s="5" t="str">
        <f t="shared" si="10"/>
        <v/>
      </c>
    </row>
    <row r="648" spans="1:6" ht="18" x14ac:dyDescent="0.35">
      <c r="A648" s="2"/>
      <c r="B648" s="2"/>
      <c r="C648" s="2"/>
      <c r="D648" s="2"/>
      <c r="E648" s="5" t="str">
        <f>IF(C648="", "", IFERROR(VLOOKUP(C648, Price_List!A:D, IF(Dashboard!$B$9="樂觀(Snipe)", 3, IF(Dashboard!$B$9="悲觀(Panic)", 4, 2)), 0), 0))</f>
        <v/>
      </c>
      <c r="F648" s="5" t="str">
        <f t="shared" si="10"/>
        <v/>
      </c>
    </row>
    <row r="649" spans="1:6" ht="18" x14ac:dyDescent="0.35">
      <c r="A649" s="2"/>
      <c r="B649" s="2"/>
      <c r="C649" s="2"/>
      <c r="D649" s="2"/>
      <c r="E649" s="5" t="str">
        <f>IF(C649="", "", IFERROR(VLOOKUP(C649, Price_List!A:D, IF(Dashboard!$B$9="樂觀(Snipe)", 3, IF(Dashboard!$B$9="悲觀(Panic)", 4, 2)), 0), 0))</f>
        <v/>
      </c>
      <c r="F649" s="5" t="str">
        <f t="shared" si="10"/>
        <v/>
      </c>
    </row>
    <row r="650" spans="1:6" ht="18" x14ac:dyDescent="0.35">
      <c r="A650" s="2"/>
      <c r="B650" s="2"/>
      <c r="C650" s="2"/>
      <c r="D650" s="2"/>
      <c r="E650" s="5" t="str">
        <f>IF(C650="", "", IFERROR(VLOOKUP(C650, Price_List!A:D, IF(Dashboard!$B$9="樂觀(Snipe)", 3, IF(Dashboard!$B$9="悲觀(Panic)", 4, 2)), 0), 0))</f>
        <v/>
      </c>
      <c r="F650" s="5" t="str">
        <f t="shared" si="10"/>
        <v/>
      </c>
    </row>
    <row r="651" spans="1:6" ht="18" x14ac:dyDescent="0.35">
      <c r="A651" s="2"/>
      <c r="B651" s="2"/>
      <c r="C651" s="2"/>
      <c r="D651" s="2"/>
      <c r="E651" s="5" t="str">
        <f>IF(C651="", "", IFERROR(VLOOKUP(C651, Price_List!A:D, IF(Dashboard!$B$9="樂觀(Snipe)", 3, IF(Dashboard!$B$9="悲觀(Panic)", 4, 2)), 0), 0))</f>
        <v/>
      </c>
      <c r="F651" s="5" t="str">
        <f t="shared" si="10"/>
        <v/>
      </c>
    </row>
    <row r="652" spans="1:6" ht="18" x14ac:dyDescent="0.35">
      <c r="A652" s="2"/>
      <c r="B652" s="2"/>
      <c r="C652" s="2"/>
      <c r="D652" s="2"/>
      <c r="E652" s="5" t="str">
        <f>IF(C652="", "", IFERROR(VLOOKUP(C652, Price_List!A:D, IF(Dashboard!$B$9="樂觀(Snipe)", 3, IF(Dashboard!$B$9="悲觀(Panic)", 4, 2)), 0), 0))</f>
        <v/>
      </c>
      <c r="F652" s="5" t="str">
        <f t="shared" si="10"/>
        <v/>
      </c>
    </row>
    <row r="653" spans="1:6" ht="18" x14ac:dyDescent="0.35">
      <c r="A653" s="2"/>
      <c r="B653" s="2"/>
      <c r="C653" s="2"/>
      <c r="D653" s="2"/>
      <c r="E653" s="5" t="str">
        <f>IF(C653="", "", IFERROR(VLOOKUP(C653, Price_List!A:D, IF(Dashboard!$B$9="樂觀(Snipe)", 3, IF(Dashboard!$B$9="悲觀(Panic)", 4, 2)), 0), 0))</f>
        <v/>
      </c>
      <c r="F653" s="5" t="str">
        <f t="shared" si="10"/>
        <v/>
      </c>
    </row>
    <row r="654" spans="1:6" ht="18" x14ac:dyDescent="0.35">
      <c r="A654" s="2"/>
      <c r="B654" s="2"/>
      <c r="C654" s="2"/>
      <c r="D654" s="2"/>
      <c r="E654" s="5" t="str">
        <f>IF(C654="", "", IFERROR(VLOOKUP(C654, Price_List!A:D, IF(Dashboard!$B$9="樂觀(Snipe)", 3, IF(Dashboard!$B$9="悲觀(Panic)", 4, 2)), 0), 0))</f>
        <v/>
      </c>
      <c r="F654" s="5" t="str">
        <f t="shared" si="10"/>
        <v/>
      </c>
    </row>
    <row r="655" spans="1:6" ht="18" x14ac:dyDescent="0.35">
      <c r="A655" s="2"/>
      <c r="B655" s="2"/>
      <c r="C655" s="2"/>
      <c r="D655" s="2"/>
      <c r="E655" s="5" t="str">
        <f>IF(C655="", "", IFERROR(VLOOKUP(C655, Price_List!A:D, IF(Dashboard!$B$9="樂觀(Snipe)", 3, IF(Dashboard!$B$9="悲觀(Panic)", 4, 2)), 0), 0))</f>
        <v/>
      </c>
      <c r="F655" s="5" t="str">
        <f t="shared" si="10"/>
        <v/>
      </c>
    </row>
    <row r="656" spans="1:6" ht="18" x14ac:dyDescent="0.35">
      <c r="A656" s="2"/>
      <c r="B656" s="2"/>
      <c r="C656" s="2"/>
      <c r="D656" s="2"/>
      <c r="E656" s="5" t="str">
        <f>IF(C656="", "", IFERROR(VLOOKUP(C656, Price_List!A:D, IF(Dashboard!$B$9="樂觀(Snipe)", 3, IF(Dashboard!$B$9="悲觀(Panic)", 4, 2)), 0), 0))</f>
        <v/>
      </c>
      <c r="F656" s="5" t="str">
        <f t="shared" si="10"/>
        <v/>
      </c>
    </row>
    <row r="657" spans="1:6" ht="18" x14ac:dyDescent="0.35">
      <c r="A657" s="2"/>
      <c r="B657" s="2"/>
      <c r="C657" s="2"/>
      <c r="D657" s="2"/>
      <c r="E657" s="5" t="str">
        <f>IF(C657="", "", IFERROR(VLOOKUP(C657, Price_List!A:D, IF(Dashboard!$B$9="樂觀(Snipe)", 3, IF(Dashboard!$B$9="悲觀(Panic)", 4, 2)), 0), 0))</f>
        <v/>
      </c>
      <c r="F657" s="5" t="str">
        <f t="shared" si="10"/>
        <v/>
      </c>
    </row>
    <row r="658" spans="1:6" ht="18" x14ac:dyDescent="0.35">
      <c r="A658" s="2"/>
      <c r="B658" s="2"/>
      <c r="C658" s="2"/>
      <c r="D658" s="2"/>
      <c r="E658" s="5" t="str">
        <f>IF(C658="", "", IFERROR(VLOOKUP(C658, Price_List!A:D, IF(Dashboard!$B$9="樂觀(Snipe)", 3, IF(Dashboard!$B$9="悲觀(Panic)", 4, 2)), 0), 0))</f>
        <v/>
      </c>
      <c r="F658" s="5" t="str">
        <f t="shared" si="10"/>
        <v/>
      </c>
    </row>
    <row r="659" spans="1:6" ht="18" x14ac:dyDescent="0.35">
      <c r="A659" s="2"/>
      <c r="B659" s="2"/>
      <c r="C659" s="2"/>
      <c r="D659" s="2"/>
      <c r="E659" s="5" t="str">
        <f>IF(C659="", "", IFERROR(VLOOKUP(C659, Price_List!A:D, IF(Dashboard!$B$9="樂觀(Snipe)", 3, IF(Dashboard!$B$9="悲觀(Panic)", 4, 2)), 0), 0))</f>
        <v/>
      </c>
      <c r="F659" s="5" t="str">
        <f t="shared" si="10"/>
        <v/>
      </c>
    </row>
    <row r="660" spans="1:6" ht="18" x14ac:dyDescent="0.35">
      <c r="A660" s="2"/>
      <c r="B660" s="2"/>
      <c r="C660" s="2"/>
      <c r="D660" s="2"/>
      <c r="E660" s="5" t="str">
        <f>IF(C660="", "", IFERROR(VLOOKUP(C660, Price_List!A:D, IF(Dashboard!$B$9="樂觀(Snipe)", 3, IF(Dashboard!$B$9="悲觀(Panic)", 4, 2)), 0), 0))</f>
        <v/>
      </c>
      <c r="F660" s="5" t="str">
        <f t="shared" si="10"/>
        <v/>
      </c>
    </row>
    <row r="661" spans="1:6" ht="18" x14ac:dyDescent="0.35">
      <c r="A661" s="2"/>
      <c r="B661" s="2"/>
      <c r="C661" s="2"/>
      <c r="D661" s="2"/>
      <c r="E661" s="5" t="str">
        <f>IF(C661="", "", IFERROR(VLOOKUP(C661, Price_List!A:D, IF(Dashboard!$B$9="樂觀(Snipe)", 3, IF(Dashboard!$B$9="悲觀(Panic)", 4, 2)), 0), 0))</f>
        <v/>
      </c>
      <c r="F661" s="5" t="str">
        <f t="shared" si="10"/>
        <v/>
      </c>
    </row>
    <row r="662" spans="1:6" ht="18" x14ac:dyDescent="0.35">
      <c r="A662" s="2"/>
      <c r="B662" s="2"/>
      <c r="C662" s="2"/>
      <c r="D662" s="2"/>
      <c r="E662" s="5" t="str">
        <f>IF(C662="", "", IFERROR(VLOOKUP(C662, Price_List!A:D, IF(Dashboard!$B$9="樂觀(Snipe)", 3, IF(Dashboard!$B$9="悲觀(Panic)", 4, 2)), 0), 0))</f>
        <v/>
      </c>
      <c r="F662" s="5" t="str">
        <f t="shared" si="10"/>
        <v/>
      </c>
    </row>
    <row r="663" spans="1:6" ht="18" x14ac:dyDescent="0.35">
      <c r="A663" s="2"/>
      <c r="B663" s="2"/>
      <c r="C663" s="2"/>
      <c r="D663" s="2"/>
      <c r="E663" s="5" t="str">
        <f>IF(C663="", "", IFERROR(VLOOKUP(C663, Price_List!A:D, IF(Dashboard!$B$9="樂觀(Snipe)", 3, IF(Dashboard!$B$9="悲觀(Panic)", 4, 2)), 0), 0))</f>
        <v/>
      </c>
      <c r="F663" s="5" t="str">
        <f t="shared" si="10"/>
        <v/>
      </c>
    </row>
    <row r="664" spans="1:6" ht="18" x14ac:dyDescent="0.35">
      <c r="A664" s="2"/>
      <c r="B664" s="2"/>
      <c r="C664" s="2"/>
      <c r="D664" s="2"/>
      <c r="E664" s="5" t="str">
        <f>IF(C664="", "", IFERROR(VLOOKUP(C664, Price_List!A:D, IF(Dashboard!$B$9="樂觀(Snipe)", 3, IF(Dashboard!$B$9="悲觀(Panic)", 4, 2)), 0), 0))</f>
        <v/>
      </c>
      <c r="F664" s="5" t="str">
        <f t="shared" si="10"/>
        <v/>
      </c>
    </row>
    <row r="665" spans="1:6" ht="18" x14ac:dyDescent="0.35">
      <c r="A665" s="2"/>
      <c r="B665" s="2"/>
      <c r="C665" s="2"/>
      <c r="D665" s="2"/>
      <c r="E665" s="5" t="str">
        <f>IF(C665="", "", IFERROR(VLOOKUP(C665, Price_List!A:D, IF(Dashboard!$B$9="樂觀(Snipe)", 3, IF(Dashboard!$B$9="悲觀(Panic)", 4, 2)), 0), 0))</f>
        <v/>
      </c>
      <c r="F665" s="5" t="str">
        <f t="shared" si="10"/>
        <v/>
      </c>
    </row>
    <row r="666" spans="1:6" ht="18" x14ac:dyDescent="0.35">
      <c r="A666" s="2"/>
      <c r="B666" s="2"/>
      <c r="C666" s="2"/>
      <c r="D666" s="2"/>
      <c r="E666" s="5" t="str">
        <f>IF(C666="", "", IFERROR(VLOOKUP(C666, Price_List!A:D, IF(Dashboard!$B$9="樂觀(Snipe)", 3, IF(Dashboard!$B$9="悲觀(Panic)", 4, 2)), 0), 0))</f>
        <v/>
      </c>
      <c r="F666" s="5" t="str">
        <f t="shared" si="10"/>
        <v/>
      </c>
    </row>
    <row r="667" spans="1:6" ht="18" x14ac:dyDescent="0.35">
      <c r="A667" s="2"/>
      <c r="B667" s="2"/>
      <c r="C667" s="2"/>
      <c r="D667" s="2"/>
      <c r="E667" s="5" t="str">
        <f>IF(C667="", "", IFERROR(VLOOKUP(C667, Price_List!A:D, IF(Dashboard!$B$9="樂觀(Snipe)", 3, IF(Dashboard!$B$9="悲觀(Panic)", 4, 2)), 0), 0))</f>
        <v/>
      </c>
      <c r="F667" s="5" t="str">
        <f t="shared" si="10"/>
        <v/>
      </c>
    </row>
    <row r="668" spans="1:6" ht="18" x14ac:dyDescent="0.35">
      <c r="A668" s="2"/>
      <c r="B668" s="2"/>
      <c r="C668" s="2"/>
      <c r="D668" s="2"/>
      <c r="E668" s="5" t="str">
        <f>IF(C668="", "", IFERROR(VLOOKUP(C668, Price_List!A:D, IF(Dashboard!$B$9="樂觀(Snipe)", 3, IF(Dashboard!$B$9="悲觀(Panic)", 4, 2)), 0), 0))</f>
        <v/>
      </c>
      <c r="F668" s="5" t="str">
        <f t="shared" si="10"/>
        <v/>
      </c>
    </row>
    <row r="669" spans="1:6" ht="18" x14ac:dyDescent="0.35">
      <c r="A669" s="2"/>
      <c r="B669" s="2"/>
      <c r="C669" s="2"/>
      <c r="D669" s="2"/>
      <c r="E669" s="5" t="str">
        <f>IF(C669="", "", IFERROR(VLOOKUP(C669, Price_List!A:D, IF(Dashboard!$B$9="樂觀(Snipe)", 3, IF(Dashboard!$B$9="悲觀(Panic)", 4, 2)), 0), 0))</f>
        <v/>
      </c>
      <c r="F669" s="5" t="str">
        <f t="shared" si="10"/>
        <v/>
      </c>
    </row>
    <row r="670" spans="1:6" ht="18" x14ac:dyDescent="0.35">
      <c r="A670" s="2"/>
      <c r="B670" s="2"/>
      <c r="C670" s="2"/>
      <c r="D670" s="2"/>
      <c r="E670" s="5" t="str">
        <f>IF(C670="", "", IFERROR(VLOOKUP(C670, Price_List!A:D, IF(Dashboard!$B$9="樂觀(Snipe)", 3, IF(Dashboard!$B$9="悲觀(Panic)", 4, 2)), 0), 0))</f>
        <v/>
      </c>
      <c r="F670" s="5" t="str">
        <f t="shared" si="10"/>
        <v/>
      </c>
    </row>
    <row r="671" spans="1:6" ht="18" x14ac:dyDescent="0.35">
      <c r="A671" s="2"/>
      <c r="B671" s="2"/>
      <c r="C671" s="2"/>
      <c r="D671" s="2"/>
      <c r="E671" s="5" t="str">
        <f>IF(C671="", "", IFERROR(VLOOKUP(C671, Price_List!A:D, IF(Dashboard!$B$9="樂觀(Snipe)", 3, IF(Dashboard!$B$9="悲觀(Panic)", 4, 2)), 0), 0))</f>
        <v/>
      </c>
      <c r="F671" s="5" t="str">
        <f t="shared" si="10"/>
        <v/>
      </c>
    </row>
    <row r="672" spans="1:6" ht="18" x14ac:dyDescent="0.35">
      <c r="A672" s="2"/>
      <c r="B672" s="2"/>
      <c r="C672" s="2"/>
      <c r="D672" s="2"/>
      <c r="E672" s="5" t="str">
        <f>IF(C672="", "", IFERROR(VLOOKUP(C672, Price_List!A:D, IF(Dashboard!$B$9="樂觀(Snipe)", 3, IF(Dashboard!$B$9="悲觀(Panic)", 4, 2)), 0), 0))</f>
        <v/>
      </c>
      <c r="F672" s="5" t="str">
        <f t="shared" si="10"/>
        <v/>
      </c>
    </row>
    <row r="673" spans="1:6" ht="18" x14ac:dyDescent="0.35">
      <c r="A673" s="2"/>
      <c r="B673" s="2"/>
      <c r="C673" s="2"/>
      <c r="D673" s="2"/>
      <c r="E673" s="5" t="str">
        <f>IF(C673="", "", IFERROR(VLOOKUP(C673, Price_List!A:D, IF(Dashboard!$B$9="樂觀(Snipe)", 3, IF(Dashboard!$B$9="悲觀(Panic)", 4, 2)), 0), 0))</f>
        <v/>
      </c>
      <c r="F673" s="5" t="str">
        <f t="shared" si="10"/>
        <v/>
      </c>
    </row>
    <row r="674" spans="1:6" ht="18" x14ac:dyDescent="0.35">
      <c r="A674" s="2"/>
      <c r="B674" s="2"/>
      <c r="C674" s="2"/>
      <c r="D674" s="2"/>
      <c r="E674" s="5" t="str">
        <f>IF(C674="", "", IFERROR(VLOOKUP(C674, Price_List!A:D, IF(Dashboard!$B$9="樂觀(Snipe)", 3, IF(Dashboard!$B$9="悲觀(Panic)", 4, 2)), 0), 0))</f>
        <v/>
      </c>
      <c r="F674" s="5" t="str">
        <f t="shared" si="10"/>
        <v/>
      </c>
    </row>
    <row r="675" spans="1:6" ht="18" x14ac:dyDescent="0.35">
      <c r="A675" s="2"/>
      <c r="B675" s="2"/>
      <c r="C675" s="2"/>
      <c r="D675" s="2"/>
      <c r="E675" s="5" t="str">
        <f>IF(C675="", "", IFERROR(VLOOKUP(C675, Price_List!A:D, IF(Dashboard!$B$9="樂觀(Snipe)", 3, IF(Dashboard!$B$9="悲觀(Panic)", 4, 2)), 0), 0))</f>
        <v/>
      </c>
      <c r="F675" s="5" t="str">
        <f t="shared" si="10"/>
        <v/>
      </c>
    </row>
    <row r="676" spans="1:6" ht="18" x14ac:dyDescent="0.35">
      <c r="A676" s="2"/>
      <c r="B676" s="2"/>
      <c r="C676" s="2"/>
      <c r="D676" s="2"/>
      <c r="E676" s="5" t="str">
        <f>IF(C676="", "", IFERROR(VLOOKUP(C676, Price_List!A:D, IF(Dashboard!$B$9="樂觀(Snipe)", 3, IF(Dashboard!$B$9="悲觀(Panic)", 4, 2)), 0), 0))</f>
        <v/>
      </c>
      <c r="F676" s="5" t="str">
        <f t="shared" si="10"/>
        <v/>
      </c>
    </row>
    <row r="677" spans="1:6" ht="18" x14ac:dyDescent="0.35">
      <c r="A677" s="2"/>
      <c r="B677" s="2"/>
      <c r="C677" s="2"/>
      <c r="D677" s="2"/>
      <c r="E677" s="5" t="str">
        <f>IF(C677="", "", IFERROR(VLOOKUP(C677, Price_List!A:D, IF(Dashboard!$B$9="樂觀(Snipe)", 3, IF(Dashboard!$B$9="悲觀(Panic)", 4, 2)), 0), 0))</f>
        <v/>
      </c>
      <c r="F677" s="5" t="str">
        <f t="shared" si="10"/>
        <v/>
      </c>
    </row>
    <row r="678" spans="1:6" ht="18" x14ac:dyDescent="0.35">
      <c r="A678" s="2"/>
      <c r="B678" s="2"/>
      <c r="C678" s="2"/>
      <c r="D678" s="2"/>
      <c r="E678" s="5" t="str">
        <f>IF(C678="", "", IFERROR(VLOOKUP(C678, Price_List!A:D, IF(Dashboard!$B$9="樂觀(Snipe)", 3, IF(Dashboard!$B$9="悲觀(Panic)", 4, 2)), 0), 0))</f>
        <v/>
      </c>
      <c r="F678" s="5" t="str">
        <f t="shared" si="10"/>
        <v/>
      </c>
    </row>
    <row r="679" spans="1:6" ht="18" x14ac:dyDescent="0.35">
      <c r="A679" s="2"/>
      <c r="B679" s="2"/>
      <c r="C679" s="2"/>
      <c r="D679" s="2"/>
      <c r="E679" s="5" t="str">
        <f>IF(C679="", "", IFERROR(VLOOKUP(C679, Price_List!A:D, IF(Dashboard!$B$9="樂觀(Snipe)", 3, IF(Dashboard!$B$9="悲觀(Panic)", 4, 2)), 0), 0))</f>
        <v/>
      </c>
      <c r="F679" s="5" t="str">
        <f t="shared" si="10"/>
        <v/>
      </c>
    </row>
    <row r="680" spans="1:6" ht="18" x14ac:dyDescent="0.35">
      <c r="A680" s="2"/>
      <c r="B680" s="2"/>
      <c r="C680" s="2"/>
      <c r="D680" s="2"/>
      <c r="E680" s="5" t="str">
        <f>IF(C680="", "", IFERROR(VLOOKUP(C680, Price_List!A:D, IF(Dashboard!$B$9="樂觀(Snipe)", 3, IF(Dashboard!$B$9="悲觀(Panic)", 4, 2)), 0), 0))</f>
        <v/>
      </c>
      <c r="F680" s="5" t="str">
        <f t="shared" si="10"/>
        <v/>
      </c>
    </row>
    <row r="681" spans="1:6" ht="18" x14ac:dyDescent="0.35">
      <c r="A681" s="2"/>
      <c r="B681" s="2"/>
      <c r="C681" s="2"/>
      <c r="D681" s="2"/>
      <c r="E681" s="5" t="str">
        <f>IF(C681="", "", IFERROR(VLOOKUP(C681, Price_List!A:D, IF(Dashboard!$B$9="樂觀(Snipe)", 3, IF(Dashboard!$B$9="悲觀(Panic)", 4, 2)), 0), 0))</f>
        <v/>
      </c>
      <c r="F681" s="5" t="str">
        <f t="shared" si="10"/>
        <v/>
      </c>
    </row>
    <row r="682" spans="1:6" ht="18" x14ac:dyDescent="0.35">
      <c r="A682" s="2"/>
      <c r="B682" s="2"/>
      <c r="C682" s="2"/>
      <c r="D682" s="2"/>
      <c r="E682" s="5" t="str">
        <f>IF(C682="", "", IFERROR(VLOOKUP(C682, Price_List!A:D, IF(Dashboard!$B$9="樂觀(Snipe)", 3, IF(Dashboard!$B$9="悲觀(Panic)", 4, 2)), 0), 0))</f>
        <v/>
      </c>
      <c r="F682" s="5" t="str">
        <f t="shared" si="10"/>
        <v/>
      </c>
    </row>
    <row r="683" spans="1:6" ht="18" x14ac:dyDescent="0.35">
      <c r="A683" s="2"/>
      <c r="B683" s="2"/>
      <c r="C683" s="2"/>
      <c r="D683" s="2"/>
      <c r="E683" s="5" t="str">
        <f>IF(C683="", "", IFERROR(VLOOKUP(C683, Price_List!A:D, IF(Dashboard!$B$9="樂觀(Snipe)", 3, IF(Dashboard!$B$9="悲觀(Panic)", 4, 2)), 0), 0))</f>
        <v/>
      </c>
      <c r="F683" s="5" t="str">
        <f t="shared" si="10"/>
        <v/>
      </c>
    </row>
    <row r="684" spans="1:6" ht="18" x14ac:dyDescent="0.35">
      <c r="A684" s="2"/>
      <c r="B684" s="2"/>
      <c r="C684" s="2"/>
      <c r="D684" s="2"/>
      <c r="E684" s="5" t="str">
        <f>IF(C684="", "", IFERROR(VLOOKUP(C684, Price_List!A:D, IF(Dashboard!$B$9="樂觀(Snipe)", 3, IF(Dashboard!$B$9="悲觀(Panic)", 4, 2)), 0), 0))</f>
        <v/>
      </c>
      <c r="F684" s="5" t="str">
        <f t="shared" si="10"/>
        <v/>
      </c>
    </row>
    <row r="685" spans="1:6" ht="18" x14ac:dyDescent="0.35">
      <c r="A685" s="2"/>
      <c r="B685" s="2"/>
      <c r="C685" s="2"/>
      <c r="D685" s="2"/>
      <c r="E685" s="5" t="str">
        <f>IF(C685="", "", IFERROR(VLOOKUP(C685, Price_List!A:D, IF(Dashboard!$B$9="樂觀(Snipe)", 3, IF(Dashboard!$B$9="悲觀(Panic)", 4, 2)), 0), 0))</f>
        <v/>
      </c>
      <c r="F685" s="5" t="str">
        <f t="shared" si="10"/>
        <v/>
      </c>
    </row>
    <row r="686" spans="1:6" ht="18" x14ac:dyDescent="0.35">
      <c r="A686" s="2"/>
      <c r="B686" s="2"/>
      <c r="C686" s="2"/>
      <c r="D686" s="2"/>
      <c r="E686" s="5" t="str">
        <f>IF(C686="", "", IFERROR(VLOOKUP(C686, Price_List!A:D, IF(Dashboard!$B$9="樂觀(Snipe)", 3, IF(Dashboard!$B$9="悲觀(Panic)", 4, 2)), 0), 0))</f>
        <v/>
      </c>
      <c r="F686" s="5" t="str">
        <f t="shared" si="10"/>
        <v/>
      </c>
    </row>
    <row r="687" spans="1:6" ht="18" x14ac:dyDescent="0.35">
      <c r="A687" s="2"/>
      <c r="B687" s="2"/>
      <c r="C687" s="2"/>
      <c r="D687" s="2"/>
      <c r="E687" s="5" t="str">
        <f>IF(C687="", "", IFERROR(VLOOKUP(C687, Price_List!A:D, IF(Dashboard!$B$9="樂觀(Snipe)", 3, IF(Dashboard!$B$9="悲觀(Panic)", 4, 2)), 0), 0))</f>
        <v/>
      </c>
      <c r="F687" s="5" t="str">
        <f t="shared" si="10"/>
        <v/>
      </c>
    </row>
    <row r="688" spans="1:6" ht="18" x14ac:dyDescent="0.35">
      <c r="A688" s="2"/>
      <c r="B688" s="2"/>
      <c r="C688" s="2"/>
      <c r="D688" s="2"/>
      <c r="E688" s="5" t="str">
        <f>IF(C688="", "", IFERROR(VLOOKUP(C688, Price_List!A:D, IF(Dashboard!$B$9="樂觀(Snipe)", 3, IF(Dashboard!$B$9="悲觀(Panic)", 4, 2)), 0), 0))</f>
        <v/>
      </c>
      <c r="F688" s="5" t="str">
        <f t="shared" si="10"/>
        <v/>
      </c>
    </row>
    <row r="689" spans="1:6" ht="18" x14ac:dyDescent="0.35">
      <c r="A689" s="2"/>
      <c r="B689" s="2"/>
      <c r="C689" s="2"/>
      <c r="D689" s="2"/>
      <c r="E689" s="5" t="str">
        <f>IF(C689="", "", IFERROR(VLOOKUP(C689, Price_List!A:D, IF(Dashboard!$B$9="樂觀(Snipe)", 3, IF(Dashboard!$B$9="悲觀(Panic)", 4, 2)), 0), 0))</f>
        <v/>
      </c>
      <c r="F689" s="5" t="str">
        <f t="shared" si="10"/>
        <v/>
      </c>
    </row>
    <row r="690" spans="1:6" ht="18" x14ac:dyDescent="0.35">
      <c r="A690" s="2"/>
      <c r="B690" s="2"/>
      <c r="C690" s="2"/>
      <c r="D690" s="2"/>
      <c r="E690" s="5" t="str">
        <f>IF(C690="", "", IFERROR(VLOOKUP(C690, Price_List!A:D, IF(Dashboard!$B$9="樂觀(Snipe)", 3, IF(Dashboard!$B$9="悲觀(Panic)", 4, 2)), 0), 0))</f>
        <v/>
      </c>
      <c r="F690" s="5" t="str">
        <f t="shared" si="10"/>
        <v/>
      </c>
    </row>
    <row r="691" spans="1:6" ht="18" x14ac:dyDescent="0.35">
      <c r="A691" s="2"/>
      <c r="B691" s="2"/>
      <c r="C691" s="2"/>
      <c r="D691" s="2"/>
      <c r="E691" s="5" t="str">
        <f>IF(C691="", "", IFERROR(VLOOKUP(C691, Price_List!A:D, IF(Dashboard!$B$9="樂觀(Snipe)", 3, IF(Dashboard!$B$9="悲觀(Panic)", 4, 2)), 0), 0))</f>
        <v/>
      </c>
      <c r="F691" s="5" t="str">
        <f t="shared" si="10"/>
        <v/>
      </c>
    </row>
    <row r="692" spans="1:6" ht="18" x14ac:dyDescent="0.35">
      <c r="A692" s="2"/>
      <c r="B692" s="2"/>
      <c r="C692" s="2"/>
      <c r="D692" s="2"/>
      <c r="E692" s="5" t="str">
        <f>IF(C692="", "", IFERROR(VLOOKUP(C692, Price_List!A:D, IF(Dashboard!$B$9="樂觀(Snipe)", 3, IF(Dashboard!$B$9="悲觀(Panic)", 4, 2)), 0), 0))</f>
        <v/>
      </c>
      <c r="F692" s="5" t="str">
        <f t="shared" si="10"/>
        <v/>
      </c>
    </row>
    <row r="693" spans="1:6" ht="18" x14ac:dyDescent="0.35">
      <c r="A693" s="2"/>
      <c r="B693" s="2"/>
      <c r="C693" s="2"/>
      <c r="D693" s="2"/>
      <c r="E693" s="5" t="str">
        <f>IF(C693="", "", IFERROR(VLOOKUP(C693, Price_List!A:D, IF(Dashboard!$B$9="樂觀(Snipe)", 3, IF(Dashboard!$B$9="悲觀(Panic)", 4, 2)), 0), 0))</f>
        <v/>
      </c>
      <c r="F693" s="5" t="str">
        <f t="shared" si="10"/>
        <v/>
      </c>
    </row>
    <row r="694" spans="1:6" ht="18" x14ac:dyDescent="0.35">
      <c r="A694" s="2"/>
      <c r="B694" s="2"/>
      <c r="C694" s="2"/>
      <c r="D694" s="2"/>
      <c r="E694" s="5" t="str">
        <f>IF(C694="", "", IFERROR(VLOOKUP(C694, Price_List!A:D, IF(Dashboard!$B$9="樂觀(Snipe)", 3, IF(Dashboard!$B$9="悲觀(Panic)", 4, 2)), 0), 0))</f>
        <v/>
      </c>
      <c r="F694" s="5" t="str">
        <f t="shared" si="10"/>
        <v/>
      </c>
    </row>
    <row r="695" spans="1:6" ht="18" x14ac:dyDescent="0.35">
      <c r="A695" s="2"/>
      <c r="B695" s="2"/>
      <c r="C695" s="2"/>
      <c r="D695" s="2"/>
      <c r="E695" s="5" t="str">
        <f>IF(C695="", "", IFERROR(VLOOKUP(C695, Price_List!A:D, IF(Dashboard!$B$9="樂觀(Snipe)", 3, IF(Dashboard!$B$9="悲觀(Panic)", 4, 2)), 0), 0))</f>
        <v/>
      </c>
      <c r="F695" s="5" t="str">
        <f t="shared" si="10"/>
        <v/>
      </c>
    </row>
    <row r="696" spans="1:6" ht="18" x14ac:dyDescent="0.35">
      <c r="A696" s="2"/>
      <c r="B696" s="2"/>
      <c r="C696" s="2"/>
      <c r="D696" s="2"/>
      <c r="E696" s="5" t="str">
        <f>IF(C696="", "", IFERROR(VLOOKUP(C696, Price_List!A:D, IF(Dashboard!$B$9="樂觀(Snipe)", 3, IF(Dashboard!$B$9="悲觀(Panic)", 4, 2)), 0), 0))</f>
        <v/>
      </c>
      <c r="F696" s="5" t="str">
        <f t="shared" si="10"/>
        <v/>
      </c>
    </row>
    <row r="697" spans="1:6" ht="18" x14ac:dyDescent="0.35">
      <c r="A697" s="2"/>
      <c r="B697" s="2"/>
      <c r="C697" s="2"/>
      <c r="D697" s="2"/>
      <c r="E697" s="5" t="str">
        <f>IF(C697="", "", IFERROR(VLOOKUP(C697, Price_List!A:D, IF(Dashboard!$B$9="樂觀(Snipe)", 3, IF(Dashboard!$B$9="悲觀(Panic)", 4, 2)), 0), 0))</f>
        <v/>
      </c>
      <c r="F697" s="5" t="str">
        <f t="shared" si="10"/>
        <v/>
      </c>
    </row>
    <row r="698" spans="1:6" ht="18" x14ac:dyDescent="0.35">
      <c r="A698" s="2"/>
      <c r="B698" s="2"/>
      <c r="C698" s="2"/>
      <c r="D698" s="2"/>
      <c r="E698" s="5" t="str">
        <f>IF(C698="", "", IFERROR(VLOOKUP(C698, Price_List!A:D, IF(Dashboard!$B$9="樂觀(Snipe)", 3, IF(Dashboard!$B$9="悲觀(Panic)", 4, 2)), 0), 0))</f>
        <v/>
      </c>
      <c r="F698" s="5" t="str">
        <f t="shared" si="10"/>
        <v/>
      </c>
    </row>
    <row r="699" spans="1:6" ht="18" x14ac:dyDescent="0.35">
      <c r="A699" s="2"/>
      <c r="B699" s="2"/>
      <c r="C699" s="2"/>
      <c r="D699" s="2"/>
      <c r="E699" s="5" t="str">
        <f>IF(C699="", "", IFERROR(VLOOKUP(C699, Price_List!A:D, IF(Dashboard!$B$9="樂觀(Snipe)", 3, IF(Dashboard!$B$9="悲觀(Panic)", 4, 2)), 0), 0))</f>
        <v/>
      </c>
      <c r="F699" s="5" t="str">
        <f t="shared" si="10"/>
        <v/>
      </c>
    </row>
    <row r="700" spans="1:6" ht="18" x14ac:dyDescent="0.35">
      <c r="A700" s="2"/>
      <c r="B700" s="2"/>
      <c r="C700" s="2"/>
      <c r="D700" s="2"/>
      <c r="E700" s="5" t="str">
        <f>IF(C700="", "", IFERROR(VLOOKUP(C700, Price_List!A:D, IF(Dashboard!$B$9="樂觀(Snipe)", 3, IF(Dashboard!$B$9="悲觀(Panic)", 4, 2)), 0), 0))</f>
        <v/>
      </c>
      <c r="F700" s="5" t="str">
        <f t="shared" si="10"/>
        <v/>
      </c>
    </row>
    <row r="701" spans="1:6" ht="18" x14ac:dyDescent="0.35">
      <c r="A701" s="2"/>
      <c r="B701" s="2"/>
      <c r="C701" s="2"/>
      <c r="D701" s="2"/>
      <c r="E701" s="5" t="str">
        <f>IF(C701="", "", IFERROR(VLOOKUP(C701, Price_List!A:D, IF(Dashboard!$B$9="樂觀(Snipe)", 3, IF(Dashboard!$B$9="悲觀(Panic)", 4, 2)), 0), 0))</f>
        <v/>
      </c>
      <c r="F701" s="5" t="str">
        <f t="shared" si="10"/>
        <v/>
      </c>
    </row>
    <row r="702" spans="1:6" ht="18" x14ac:dyDescent="0.35">
      <c r="A702" s="2"/>
      <c r="B702" s="2"/>
      <c r="C702" s="2"/>
      <c r="D702" s="2"/>
      <c r="E702" s="5" t="str">
        <f>IF(C702="", "", IFERROR(VLOOKUP(C702, Price_List!A:D, IF(Dashboard!$B$9="樂觀(Snipe)", 3, IF(Dashboard!$B$9="悲觀(Panic)", 4, 2)), 0), 0))</f>
        <v/>
      </c>
      <c r="F702" s="5" t="str">
        <f t="shared" si="10"/>
        <v/>
      </c>
    </row>
    <row r="703" spans="1:6" ht="18" x14ac:dyDescent="0.35">
      <c r="A703" s="2"/>
      <c r="B703" s="2"/>
      <c r="C703" s="2"/>
      <c r="D703" s="2"/>
      <c r="E703" s="5" t="str">
        <f>IF(C703="", "", IFERROR(VLOOKUP(C703, Price_List!A:D, IF(Dashboard!$B$9="樂觀(Snipe)", 3, IF(Dashboard!$B$9="悲觀(Panic)", 4, 2)), 0), 0))</f>
        <v/>
      </c>
      <c r="F703" s="5" t="str">
        <f t="shared" si="10"/>
        <v/>
      </c>
    </row>
    <row r="704" spans="1:6" ht="18" x14ac:dyDescent="0.35">
      <c r="A704" s="2"/>
      <c r="B704" s="2"/>
      <c r="C704" s="2"/>
      <c r="D704" s="2"/>
      <c r="E704" s="5" t="str">
        <f>IF(C704="", "", IFERROR(VLOOKUP(C704, Price_List!A:D, IF(Dashboard!$B$9="樂觀(Snipe)", 3, IF(Dashboard!$B$9="悲觀(Panic)", 4, 2)), 0), 0))</f>
        <v/>
      </c>
      <c r="F704" s="5" t="str">
        <f t="shared" si="10"/>
        <v/>
      </c>
    </row>
    <row r="705" spans="1:6" ht="18" x14ac:dyDescent="0.35">
      <c r="A705" s="2"/>
      <c r="B705" s="2"/>
      <c r="C705" s="2"/>
      <c r="D705" s="2"/>
      <c r="E705" s="5" t="str">
        <f>IF(C705="", "", IFERROR(VLOOKUP(C705, Price_List!A:D, IF(Dashboard!$B$9="樂觀(Snipe)", 3, IF(Dashboard!$B$9="悲觀(Panic)", 4, 2)), 0), 0))</f>
        <v/>
      </c>
      <c r="F705" s="5" t="str">
        <f t="shared" si="10"/>
        <v/>
      </c>
    </row>
    <row r="706" spans="1:6" ht="18" x14ac:dyDescent="0.35">
      <c r="A706" s="2"/>
      <c r="B706" s="2"/>
      <c r="C706" s="2"/>
      <c r="D706" s="2"/>
      <c r="E706" s="5" t="str">
        <f>IF(C706="", "", IFERROR(VLOOKUP(C706, Price_List!A:D, IF(Dashboard!$B$9="樂觀(Snipe)", 3, IF(Dashboard!$B$9="悲觀(Panic)", 4, 2)), 0), 0))</f>
        <v/>
      </c>
      <c r="F706" s="5" t="str">
        <f t="shared" ref="F706:F769" si="11">IF(C706="", "", D706*E706)</f>
        <v/>
      </c>
    </row>
    <row r="707" spans="1:6" ht="18" x14ac:dyDescent="0.35">
      <c r="A707" s="2"/>
      <c r="B707" s="2"/>
      <c r="C707" s="2"/>
      <c r="D707" s="2"/>
      <c r="E707" s="5" t="str">
        <f>IF(C707="", "", IFERROR(VLOOKUP(C707, Price_List!A:D, IF(Dashboard!$B$9="樂觀(Snipe)", 3, IF(Dashboard!$B$9="悲觀(Panic)", 4, 2)), 0), 0))</f>
        <v/>
      </c>
      <c r="F707" s="5" t="str">
        <f t="shared" si="11"/>
        <v/>
      </c>
    </row>
    <row r="708" spans="1:6" ht="18" x14ac:dyDescent="0.35">
      <c r="A708" s="2"/>
      <c r="B708" s="2"/>
      <c r="C708" s="2"/>
      <c r="D708" s="2"/>
      <c r="E708" s="5" t="str">
        <f>IF(C708="", "", IFERROR(VLOOKUP(C708, Price_List!A:D, IF(Dashboard!$B$9="樂觀(Snipe)", 3, IF(Dashboard!$B$9="悲觀(Panic)", 4, 2)), 0), 0))</f>
        <v/>
      </c>
      <c r="F708" s="5" t="str">
        <f t="shared" si="11"/>
        <v/>
      </c>
    </row>
    <row r="709" spans="1:6" ht="18" x14ac:dyDescent="0.35">
      <c r="A709" s="2"/>
      <c r="B709" s="2"/>
      <c r="C709" s="2"/>
      <c r="D709" s="2"/>
      <c r="E709" s="5" t="str">
        <f>IF(C709="", "", IFERROR(VLOOKUP(C709, Price_List!A:D, IF(Dashboard!$B$9="樂觀(Snipe)", 3, IF(Dashboard!$B$9="悲觀(Panic)", 4, 2)), 0), 0))</f>
        <v/>
      </c>
      <c r="F709" s="5" t="str">
        <f t="shared" si="11"/>
        <v/>
      </c>
    </row>
    <row r="710" spans="1:6" ht="18" x14ac:dyDescent="0.35">
      <c r="A710" s="2"/>
      <c r="B710" s="2"/>
      <c r="C710" s="2"/>
      <c r="D710" s="2"/>
      <c r="E710" s="5" t="str">
        <f>IF(C710="", "", IFERROR(VLOOKUP(C710, Price_List!A:D, IF(Dashboard!$B$9="樂觀(Snipe)", 3, IF(Dashboard!$B$9="悲觀(Panic)", 4, 2)), 0), 0))</f>
        <v/>
      </c>
      <c r="F710" s="5" t="str">
        <f t="shared" si="11"/>
        <v/>
      </c>
    </row>
    <row r="711" spans="1:6" ht="18" x14ac:dyDescent="0.35">
      <c r="A711" s="2"/>
      <c r="B711" s="2"/>
      <c r="C711" s="2"/>
      <c r="D711" s="2"/>
      <c r="E711" s="5" t="str">
        <f>IF(C711="", "", IFERROR(VLOOKUP(C711, Price_List!A:D, IF(Dashboard!$B$9="樂觀(Snipe)", 3, IF(Dashboard!$B$9="悲觀(Panic)", 4, 2)), 0), 0))</f>
        <v/>
      </c>
      <c r="F711" s="5" t="str">
        <f t="shared" si="11"/>
        <v/>
      </c>
    </row>
    <row r="712" spans="1:6" ht="18" x14ac:dyDescent="0.35">
      <c r="A712" s="2"/>
      <c r="B712" s="2"/>
      <c r="C712" s="2"/>
      <c r="D712" s="2"/>
      <c r="E712" s="5" t="str">
        <f>IF(C712="", "", IFERROR(VLOOKUP(C712, Price_List!A:D, IF(Dashboard!$B$9="樂觀(Snipe)", 3, IF(Dashboard!$B$9="悲觀(Panic)", 4, 2)), 0), 0))</f>
        <v/>
      </c>
      <c r="F712" s="5" t="str">
        <f t="shared" si="11"/>
        <v/>
      </c>
    </row>
    <row r="713" spans="1:6" ht="18" x14ac:dyDescent="0.35">
      <c r="A713" s="2"/>
      <c r="B713" s="2"/>
      <c r="C713" s="2"/>
      <c r="D713" s="2"/>
      <c r="E713" s="5" t="str">
        <f>IF(C713="", "", IFERROR(VLOOKUP(C713, Price_List!A:D, IF(Dashboard!$B$9="樂觀(Snipe)", 3, IF(Dashboard!$B$9="悲觀(Panic)", 4, 2)), 0), 0))</f>
        <v/>
      </c>
      <c r="F713" s="5" t="str">
        <f t="shared" si="11"/>
        <v/>
      </c>
    </row>
    <row r="714" spans="1:6" ht="18" x14ac:dyDescent="0.35">
      <c r="A714" s="2"/>
      <c r="B714" s="2"/>
      <c r="C714" s="2"/>
      <c r="D714" s="2"/>
      <c r="E714" s="5" t="str">
        <f>IF(C714="", "", IFERROR(VLOOKUP(C714, Price_List!A:D, IF(Dashboard!$B$9="樂觀(Snipe)", 3, IF(Dashboard!$B$9="悲觀(Panic)", 4, 2)), 0), 0))</f>
        <v/>
      </c>
      <c r="F714" s="5" t="str">
        <f t="shared" si="11"/>
        <v/>
      </c>
    </row>
    <row r="715" spans="1:6" ht="18" x14ac:dyDescent="0.35">
      <c r="A715" s="2"/>
      <c r="B715" s="2"/>
      <c r="C715" s="2"/>
      <c r="D715" s="2"/>
      <c r="E715" s="5" t="str">
        <f>IF(C715="", "", IFERROR(VLOOKUP(C715, Price_List!A:D, IF(Dashboard!$B$9="樂觀(Snipe)", 3, IF(Dashboard!$B$9="悲觀(Panic)", 4, 2)), 0), 0))</f>
        <v/>
      </c>
      <c r="F715" s="5" t="str">
        <f t="shared" si="11"/>
        <v/>
      </c>
    </row>
    <row r="716" spans="1:6" ht="18" x14ac:dyDescent="0.35">
      <c r="A716" s="2"/>
      <c r="B716" s="2"/>
      <c r="C716" s="2"/>
      <c r="D716" s="2"/>
      <c r="E716" s="5" t="str">
        <f>IF(C716="", "", IFERROR(VLOOKUP(C716, Price_List!A:D, IF(Dashboard!$B$9="樂觀(Snipe)", 3, IF(Dashboard!$B$9="悲觀(Panic)", 4, 2)), 0), 0))</f>
        <v/>
      </c>
      <c r="F716" s="5" t="str">
        <f t="shared" si="11"/>
        <v/>
      </c>
    </row>
    <row r="717" spans="1:6" ht="18" x14ac:dyDescent="0.35">
      <c r="A717" s="2"/>
      <c r="B717" s="2"/>
      <c r="C717" s="2"/>
      <c r="D717" s="2"/>
      <c r="E717" s="5" t="str">
        <f>IF(C717="", "", IFERROR(VLOOKUP(C717, Price_List!A:D, IF(Dashboard!$B$9="樂觀(Snipe)", 3, IF(Dashboard!$B$9="悲觀(Panic)", 4, 2)), 0), 0))</f>
        <v/>
      </c>
      <c r="F717" s="5" t="str">
        <f t="shared" si="11"/>
        <v/>
      </c>
    </row>
    <row r="718" spans="1:6" ht="18" x14ac:dyDescent="0.35">
      <c r="A718" s="2"/>
      <c r="B718" s="2"/>
      <c r="C718" s="2"/>
      <c r="D718" s="2"/>
      <c r="E718" s="5" t="str">
        <f>IF(C718="", "", IFERROR(VLOOKUP(C718, Price_List!A:D, IF(Dashboard!$B$9="樂觀(Snipe)", 3, IF(Dashboard!$B$9="悲觀(Panic)", 4, 2)), 0), 0))</f>
        <v/>
      </c>
      <c r="F718" s="5" t="str">
        <f t="shared" si="11"/>
        <v/>
      </c>
    </row>
    <row r="719" spans="1:6" ht="18" x14ac:dyDescent="0.35">
      <c r="A719" s="2"/>
      <c r="B719" s="2"/>
      <c r="C719" s="2"/>
      <c r="D719" s="2"/>
      <c r="E719" s="5" t="str">
        <f>IF(C719="", "", IFERROR(VLOOKUP(C719, Price_List!A:D, IF(Dashboard!$B$9="樂觀(Snipe)", 3, IF(Dashboard!$B$9="悲觀(Panic)", 4, 2)), 0), 0))</f>
        <v/>
      </c>
      <c r="F719" s="5" t="str">
        <f t="shared" si="11"/>
        <v/>
      </c>
    </row>
    <row r="720" spans="1:6" ht="18" x14ac:dyDescent="0.35">
      <c r="A720" s="2"/>
      <c r="B720" s="2"/>
      <c r="C720" s="2"/>
      <c r="D720" s="2"/>
      <c r="E720" s="5" t="str">
        <f>IF(C720="", "", IFERROR(VLOOKUP(C720, Price_List!A:D, IF(Dashboard!$B$9="樂觀(Snipe)", 3, IF(Dashboard!$B$9="悲觀(Panic)", 4, 2)), 0), 0))</f>
        <v/>
      </c>
      <c r="F720" s="5" t="str">
        <f t="shared" si="11"/>
        <v/>
      </c>
    </row>
    <row r="721" spans="1:6" ht="18" x14ac:dyDescent="0.35">
      <c r="A721" s="2"/>
      <c r="B721" s="2"/>
      <c r="C721" s="2"/>
      <c r="D721" s="2"/>
      <c r="E721" s="5" t="str">
        <f>IF(C721="", "", IFERROR(VLOOKUP(C721, Price_List!A:D, IF(Dashboard!$B$9="樂觀(Snipe)", 3, IF(Dashboard!$B$9="悲觀(Panic)", 4, 2)), 0), 0))</f>
        <v/>
      </c>
      <c r="F721" s="5" t="str">
        <f t="shared" si="11"/>
        <v/>
      </c>
    </row>
    <row r="722" spans="1:6" ht="18" x14ac:dyDescent="0.35">
      <c r="A722" s="2"/>
      <c r="B722" s="2"/>
      <c r="C722" s="2"/>
      <c r="D722" s="2"/>
      <c r="E722" s="5" t="str">
        <f>IF(C722="", "", IFERROR(VLOOKUP(C722, Price_List!A:D, IF(Dashboard!$B$9="樂觀(Snipe)", 3, IF(Dashboard!$B$9="悲觀(Panic)", 4, 2)), 0), 0))</f>
        <v/>
      </c>
      <c r="F722" s="5" t="str">
        <f t="shared" si="11"/>
        <v/>
      </c>
    </row>
    <row r="723" spans="1:6" ht="18" x14ac:dyDescent="0.35">
      <c r="A723" s="2"/>
      <c r="B723" s="2"/>
      <c r="C723" s="2"/>
      <c r="D723" s="2"/>
      <c r="E723" s="5" t="str">
        <f>IF(C723="", "", IFERROR(VLOOKUP(C723, Price_List!A:D, IF(Dashboard!$B$9="樂觀(Snipe)", 3, IF(Dashboard!$B$9="悲觀(Panic)", 4, 2)), 0), 0))</f>
        <v/>
      </c>
      <c r="F723" s="5" t="str">
        <f t="shared" si="11"/>
        <v/>
      </c>
    </row>
    <row r="724" spans="1:6" ht="18" x14ac:dyDescent="0.35">
      <c r="A724" s="2"/>
      <c r="B724" s="2"/>
      <c r="C724" s="2"/>
      <c r="D724" s="2"/>
      <c r="E724" s="5" t="str">
        <f>IF(C724="", "", IFERROR(VLOOKUP(C724, Price_List!A:D, IF(Dashboard!$B$9="樂觀(Snipe)", 3, IF(Dashboard!$B$9="悲觀(Panic)", 4, 2)), 0), 0))</f>
        <v/>
      </c>
      <c r="F724" s="5" t="str">
        <f t="shared" si="11"/>
        <v/>
      </c>
    </row>
    <row r="725" spans="1:6" ht="18" x14ac:dyDescent="0.35">
      <c r="A725" s="2"/>
      <c r="B725" s="2"/>
      <c r="C725" s="2"/>
      <c r="D725" s="2"/>
      <c r="E725" s="5" t="str">
        <f>IF(C725="", "", IFERROR(VLOOKUP(C725, Price_List!A:D, IF(Dashboard!$B$9="樂觀(Snipe)", 3, IF(Dashboard!$B$9="悲觀(Panic)", 4, 2)), 0), 0))</f>
        <v/>
      </c>
      <c r="F725" s="5" t="str">
        <f t="shared" si="11"/>
        <v/>
      </c>
    </row>
    <row r="726" spans="1:6" ht="18" x14ac:dyDescent="0.35">
      <c r="A726" s="2"/>
      <c r="B726" s="2"/>
      <c r="C726" s="2"/>
      <c r="D726" s="2"/>
      <c r="E726" s="5" t="str">
        <f>IF(C726="", "", IFERROR(VLOOKUP(C726, Price_List!A:D, IF(Dashboard!$B$9="樂觀(Snipe)", 3, IF(Dashboard!$B$9="悲觀(Panic)", 4, 2)), 0), 0))</f>
        <v/>
      </c>
      <c r="F726" s="5" t="str">
        <f t="shared" si="11"/>
        <v/>
      </c>
    </row>
    <row r="727" spans="1:6" ht="18" x14ac:dyDescent="0.35">
      <c r="A727" s="2"/>
      <c r="B727" s="2"/>
      <c r="C727" s="2"/>
      <c r="D727" s="2"/>
      <c r="E727" s="5" t="str">
        <f>IF(C727="", "", IFERROR(VLOOKUP(C727, Price_List!A:D, IF(Dashboard!$B$9="樂觀(Snipe)", 3, IF(Dashboard!$B$9="悲觀(Panic)", 4, 2)), 0), 0))</f>
        <v/>
      </c>
      <c r="F727" s="5" t="str">
        <f t="shared" si="11"/>
        <v/>
      </c>
    </row>
    <row r="728" spans="1:6" ht="18" x14ac:dyDescent="0.35">
      <c r="A728" s="2"/>
      <c r="B728" s="2"/>
      <c r="C728" s="2"/>
      <c r="D728" s="2"/>
      <c r="E728" s="5" t="str">
        <f>IF(C728="", "", IFERROR(VLOOKUP(C728, Price_List!A:D, IF(Dashboard!$B$9="樂觀(Snipe)", 3, IF(Dashboard!$B$9="悲觀(Panic)", 4, 2)), 0), 0))</f>
        <v/>
      </c>
      <c r="F728" s="5" t="str">
        <f t="shared" si="11"/>
        <v/>
      </c>
    </row>
    <row r="729" spans="1:6" ht="18" x14ac:dyDescent="0.35">
      <c r="A729" s="2"/>
      <c r="B729" s="2"/>
      <c r="C729" s="2"/>
      <c r="D729" s="2"/>
      <c r="E729" s="5" t="str">
        <f>IF(C729="", "", IFERROR(VLOOKUP(C729, Price_List!A:D, IF(Dashboard!$B$9="樂觀(Snipe)", 3, IF(Dashboard!$B$9="悲觀(Panic)", 4, 2)), 0), 0))</f>
        <v/>
      </c>
      <c r="F729" s="5" t="str">
        <f t="shared" si="11"/>
        <v/>
      </c>
    </row>
    <row r="730" spans="1:6" ht="18" x14ac:dyDescent="0.35">
      <c r="A730" s="2"/>
      <c r="B730" s="2"/>
      <c r="C730" s="2"/>
      <c r="D730" s="2"/>
      <c r="E730" s="5" t="str">
        <f>IF(C730="", "", IFERROR(VLOOKUP(C730, Price_List!A:D, IF(Dashboard!$B$9="樂觀(Snipe)", 3, IF(Dashboard!$B$9="悲觀(Panic)", 4, 2)), 0), 0))</f>
        <v/>
      </c>
      <c r="F730" s="5" t="str">
        <f t="shared" si="11"/>
        <v/>
      </c>
    </row>
    <row r="731" spans="1:6" ht="18" x14ac:dyDescent="0.35">
      <c r="A731" s="2"/>
      <c r="B731" s="2"/>
      <c r="C731" s="2"/>
      <c r="D731" s="2"/>
      <c r="E731" s="5" t="str">
        <f>IF(C731="", "", IFERROR(VLOOKUP(C731, Price_List!A:D, IF(Dashboard!$B$9="樂觀(Snipe)", 3, IF(Dashboard!$B$9="悲觀(Panic)", 4, 2)), 0), 0))</f>
        <v/>
      </c>
      <c r="F731" s="5" t="str">
        <f t="shared" si="11"/>
        <v/>
      </c>
    </row>
    <row r="732" spans="1:6" ht="18" x14ac:dyDescent="0.35">
      <c r="A732" s="2"/>
      <c r="B732" s="2"/>
      <c r="C732" s="2"/>
      <c r="D732" s="2"/>
      <c r="E732" s="5" t="str">
        <f>IF(C732="", "", IFERROR(VLOOKUP(C732, Price_List!A:D, IF(Dashboard!$B$9="樂觀(Snipe)", 3, IF(Dashboard!$B$9="悲觀(Panic)", 4, 2)), 0), 0))</f>
        <v/>
      </c>
      <c r="F732" s="5" t="str">
        <f t="shared" si="11"/>
        <v/>
      </c>
    </row>
    <row r="733" spans="1:6" ht="18" x14ac:dyDescent="0.35">
      <c r="A733" s="2"/>
      <c r="B733" s="2"/>
      <c r="C733" s="2"/>
      <c r="D733" s="2"/>
      <c r="E733" s="5" t="str">
        <f>IF(C733="", "", IFERROR(VLOOKUP(C733, Price_List!A:D, IF(Dashboard!$B$9="樂觀(Snipe)", 3, IF(Dashboard!$B$9="悲觀(Panic)", 4, 2)), 0), 0))</f>
        <v/>
      </c>
      <c r="F733" s="5" t="str">
        <f t="shared" si="11"/>
        <v/>
      </c>
    </row>
    <row r="734" spans="1:6" ht="18" x14ac:dyDescent="0.35">
      <c r="A734" s="2"/>
      <c r="B734" s="2"/>
      <c r="C734" s="2"/>
      <c r="D734" s="2"/>
      <c r="E734" s="5" t="str">
        <f>IF(C734="", "", IFERROR(VLOOKUP(C734, Price_List!A:D, IF(Dashboard!$B$9="樂觀(Snipe)", 3, IF(Dashboard!$B$9="悲觀(Panic)", 4, 2)), 0), 0))</f>
        <v/>
      </c>
      <c r="F734" s="5" t="str">
        <f t="shared" si="11"/>
        <v/>
      </c>
    </row>
    <row r="735" spans="1:6" ht="18" x14ac:dyDescent="0.35">
      <c r="A735" s="2"/>
      <c r="B735" s="2"/>
      <c r="C735" s="2"/>
      <c r="D735" s="2"/>
      <c r="E735" s="5" t="str">
        <f>IF(C735="", "", IFERROR(VLOOKUP(C735, Price_List!A:D, IF(Dashboard!$B$9="樂觀(Snipe)", 3, IF(Dashboard!$B$9="悲觀(Panic)", 4, 2)), 0), 0))</f>
        <v/>
      </c>
      <c r="F735" s="5" t="str">
        <f t="shared" si="11"/>
        <v/>
      </c>
    </row>
    <row r="736" spans="1:6" ht="18" x14ac:dyDescent="0.35">
      <c r="A736" s="2"/>
      <c r="B736" s="2"/>
      <c r="C736" s="2"/>
      <c r="D736" s="2"/>
      <c r="E736" s="5" t="str">
        <f>IF(C736="", "", IFERROR(VLOOKUP(C736, Price_List!A:D, IF(Dashboard!$B$9="樂觀(Snipe)", 3, IF(Dashboard!$B$9="悲觀(Panic)", 4, 2)), 0), 0))</f>
        <v/>
      </c>
      <c r="F736" s="5" t="str">
        <f t="shared" si="11"/>
        <v/>
      </c>
    </row>
    <row r="737" spans="1:6" ht="18" x14ac:dyDescent="0.35">
      <c r="A737" s="2"/>
      <c r="B737" s="2"/>
      <c r="C737" s="2"/>
      <c r="D737" s="2"/>
      <c r="E737" s="5" t="str">
        <f>IF(C737="", "", IFERROR(VLOOKUP(C737, Price_List!A:D, IF(Dashboard!$B$9="樂觀(Snipe)", 3, IF(Dashboard!$B$9="悲觀(Panic)", 4, 2)), 0), 0))</f>
        <v/>
      </c>
      <c r="F737" s="5" t="str">
        <f t="shared" si="11"/>
        <v/>
      </c>
    </row>
    <row r="738" spans="1:6" ht="18" x14ac:dyDescent="0.35">
      <c r="A738" s="2"/>
      <c r="B738" s="2"/>
      <c r="C738" s="2"/>
      <c r="D738" s="2"/>
      <c r="E738" s="5" t="str">
        <f>IF(C738="", "", IFERROR(VLOOKUP(C738, Price_List!A:D, IF(Dashboard!$B$9="樂觀(Snipe)", 3, IF(Dashboard!$B$9="悲觀(Panic)", 4, 2)), 0), 0))</f>
        <v/>
      </c>
      <c r="F738" s="5" t="str">
        <f t="shared" si="11"/>
        <v/>
      </c>
    </row>
    <row r="739" spans="1:6" ht="18" x14ac:dyDescent="0.35">
      <c r="A739" s="2"/>
      <c r="B739" s="2"/>
      <c r="C739" s="2"/>
      <c r="D739" s="2"/>
      <c r="E739" s="5" t="str">
        <f>IF(C739="", "", IFERROR(VLOOKUP(C739, Price_List!A:D, IF(Dashboard!$B$9="樂觀(Snipe)", 3, IF(Dashboard!$B$9="悲觀(Panic)", 4, 2)), 0), 0))</f>
        <v/>
      </c>
      <c r="F739" s="5" t="str">
        <f t="shared" si="11"/>
        <v/>
      </c>
    </row>
    <row r="740" spans="1:6" ht="18" x14ac:dyDescent="0.35">
      <c r="A740" s="2"/>
      <c r="B740" s="2"/>
      <c r="C740" s="2"/>
      <c r="D740" s="2"/>
      <c r="E740" s="5" t="str">
        <f>IF(C740="", "", IFERROR(VLOOKUP(C740, Price_List!A:D, IF(Dashboard!$B$9="樂觀(Snipe)", 3, IF(Dashboard!$B$9="悲觀(Panic)", 4, 2)), 0), 0))</f>
        <v/>
      </c>
      <c r="F740" s="5" t="str">
        <f t="shared" si="11"/>
        <v/>
      </c>
    </row>
    <row r="741" spans="1:6" ht="18" x14ac:dyDescent="0.35">
      <c r="A741" s="2"/>
      <c r="B741" s="2"/>
      <c r="C741" s="2"/>
      <c r="D741" s="2"/>
      <c r="E741" s="5" t="str">
        <f>IF(C741="", "", IFERROR(VLOOKUP(C741, Price_List!A:D, IF(Dashboard!$B$9="樂觀(Snipe)", 3, IF(Dashboard!$B$9="悲觀(Panic)", 4, 2)), 0), 0))</f>
        <v/>
      </c>
      <c r="F741" s="5" t="str">
        <f t="shared" si="11"/>
        <v/>
      </c>
    </row>
    <row r="742" spans="1:6" ht="18" x14ac:dyDescent="0.35">
      <c r="A742" s="2"/>
      <c r="B742" s="2"/>
      <c r="C742" s="2"/>
      <c r="D742" s="2"/>
      <c r="E742" s="5" t="str">
        <f>IF(C742="", "", IFERROR(VLOOKUP(C742, Price_List!A:D, IF(Dashboard!$B$9="樂觀(Snipe)", 3, IF(Dashboard!$B$9="悲觀(Panic)", 4, 2)), 0), 0))</f>
        <v/>
      </c>
      <c r="F742" s="5" t="str">
        <f t="shared" si="11"/>
        <v/>
      </c>
    </row>
    <row r="743" spans="1:6" ht="18" x14ac:dyDescent="0.35">
      <c r="A743" s="2"/>
      <c r="B743" s="2"/>
      <c r="C743" s="2"/>
      <c r="D743" s="2"/>
      <c r="E743" s="5" t="str">
        <f>IF(C743="", "", IFERROR(VLOOKUP(C743, Price_List!A:D, IF(Dashboard!$B$9="樂觀(Snipe)", 3, IF(Dashboard!$B$9="悲觀(Panic)", 4, 2)), 0), 0))</f>
        <v/>
      </c>
      <c r="F743" s="5" t="str">
        <f t="shared" si="11"/>
        <v/>
      </c>
    </row>
    <row r="744" spans="1:6" ht="18" x14ac:dyDescent="0.35">
      <c r="A744" s="2"/>
      <c r="B744" s="2"/>
      <c r="C744" s="2"/>
      <c r="D744" s="2"/>
      <c r="E744" s="5" t="str">
        <f>IF(C744="", "", IFERROR(VLOOKUP(C744, Price_List!A:D, IF(Dashboard!$B$9="樂觀(Snipe)", 3, IF(Dashboard!$B$9="悲觀(Panic)", 4, 2)), 0), 0))</f>
        <v/>
      </c>
      <c r="F744" s="5" t="str">
        <f t="shared" si="11"/>
        <v/>
      </c>
    </row>
    <row r="745" spans="1:6" ht="18" x14ac:dyDescent="0.35">
      <c r="A745" s="2"/>
      <c r="B745" s="2"/>
      <c r="C745" s="2"/>
      <c r="D745" s="2"/>
      <c r="E745" s="5" t="str">
        <f>IF(C745="", "", IFERROR(VLOOKUP(C745, Price_List!A:D, IF(Dashboard!$B$9="樂觀(Snipe)", 3, IF(Dashboard!$B$9="悲觀(Panic)", 4, 2)), 0), 0))</f>
        <v/>
      </c>
      <c r="F745" s="5" t="str">
        <f t="shared" si="11"/>
        <v/>
      </c>
    </row>
    <row r="746" spans="1:6" ht="18" x14ac:dyDescent="0.35">
      <c r="A746" s="2"/>
      <c r="B746" s="2"/>
      <c r="C746" s="2"/>
      <c r="D746" s="2"/>
      <c r="E746" s="5" t="str">
        <f>IF(C746="", "", IFERROR(VLOOKUP(C746, Price_List!A:D, IF(Dashboard!$B$9="樂觀(Snipe)", 3, IF(Dashboard!$B$9="悲觀(Panic)", 4, 2)), 0), 0))</f>
        <v/>
      </c>
      <c r="F746" s="5" t="str">
        <f t="shared" si="11"/>
        <v/>
      </c>
    </row>
    <row r="747" spans="1:6" ht="18" x14ac:dyDescent="0.35">
      <c r="A747" s="2"/>
      <c r="B747" s="2"/>
      <c r="C747" s="2"/>
      <c r="D747" s="2"/>
      <c r="E747" s="5" t="str">
        <f>IF(C747="", "", IFERROR(VLOOKUP(C747, Price_List!A:D, IF(Dashboard!$B$9="樂觀(Snipe)", 3, IF(Dashboard!$B$9="悲觀(Panic)", 4, 2)), 0), 0))</f>
        <v/>
      </c>
      <c r="F747" s="5" t="str">
        <f t="shared" si="11"/>
        <v/>
      </c>
    </row>
    <row r="748" spans="1:6" ht="18" x14ac:dyDescent="0.35">
      <c r="A748" s="2"/>
      <c r="B748" s="2"/>
      <c r="C748" s="2"/>
      <c r="D748" s="2"/>
      <c r="E748" s="5" t="str">
        <f>IF(C748="", "", IFERROR(VLOOKUP(C748, Price_List!A:D, IF(Dashboard!$B$9="樂觀(Snipe)", 3, IF(Dashboard!$B$9="悲觀(Panic)", 4, 2)), 0), 0))</f>
        <v/>
      </c>
      <c r="F748" s="5" t="str">
        <f t="shared" si="11"/>
        <v/>
      </c>
    </row>
    <row r="749" spans="1:6" ht="18" x14ac:dyDescent="0.35">
      <c r="A749" s="2"/>
      <c r="B749" s="2"/>
      <c r="C749" s="2"/>
      <c r="D749" s="2"/>
      <c r="E749" s="5" t="str">
        <f>IF(C749="", "", IFERROR(VLOOKUP(C749, Price_List!A:D, IF(Dashboard!$B$9="樂觀(Snipe)", 3, IF(Dashboard!$B$9="悲觀(Panic)", 4, 2)), 0), 0))</f>
        <v/>
      </c>
      <c r="F749" s="5" t="str">
        <f t="shared" si="11"/>
        <v/>
      </c>
    </row>
    <row r="750" spans="1:6" ht="18" x14ac:dyDescent="0.35">
      <c r="A750" s="2"/>
      <c r="B750" s="2"/>
      <c r="C750" s="2"/>
      <c r="D750" s="2"/>
      <c r="E750" s="5" t="str">
        <f>IF(C750="", "", IFERROR(VLOOKUP(C750, Price_List!A:D, IF(Dashboard!$B$9="樂觀(Snipe)", 3, IF(Dashboard!$B$9="悲觀(Panic)", 4, 2)), 0), 0))</f>
        <v/>
      </c>
      <c r="F750" s="5" t="str">
        <f t="shared" si="11"/>
        <v/>
      </c>
    </row>
    <row r="751" spans="1:6" ht="18" x14ac:dyDescent="0.35">
      <c r="A751" s="2"/>
      <c r="B751" s="2"/>
      <c r="C751" s="2"/>
      <c r="D751" s="2"/>
      <c r="E751" s="5" t="str">
        <f>IF(C751="", "", IFERROR(VLOOKUP(C751, Price_List!A:D, IF(Dashboard!$B$9="樂觀(Snipe)", 3, IF(Dashboard!$B$9="悲觀(Panic)", 4, 2)), 0), 0))</f>
        <v/>
      </c>
      <c r="F751" s="5" t="str">
        <f t="shared" si="11"/>
        <v/>
      </c>
    </row>
    <row r="752" spans="1:6" ht="18" x14ac:dyDescent="0.35">
      <c r="A752" s="2"/>
      <c r="B752" s="2"/>
      <c r="C752" s="2"/>
      <c r="D752" s="2"/>
      <c r="E752" s="5" t="str">
        <f>IF(C752="", "", IFERROR(VLOOKUP(C752, Price_List!A:D, IF(Dashboard!$B$9="樂觀(Snipe)", 3, IF(Dashboard!$B$9="悲觀(Panic)", 4, 2)), 0), 0))</f>
        <v/>
      </c>
      <c r="F752" s="5" t="str">
        <f t="shared" si="11"/>
        <v/>
      </c>
    </row>
    <row r="753" spans="1:6" ht="18" x14ac:dyDescent="0.35">
      <c r="A753" s="2"/>
      <c r="B753" s="2"/>
      <c r="C753" s="2"/>
      <c r="D753" s="2"/>
      <c r="E753" s="5" t="str">
        <f>IF(C753="", "", IFERROR(VLOOKUP(C753, Price_List!A:D, IF(Dashboard!$B$9="樂觀(Snipe)", 3, IF(Dashboard!$B$9="悲觀(Panic)", 4, 2)), 0), 0))</f>
        <v/>
      </c>
      <c r="F753" s="5" t="str">
        <f t="shared" si="11"/>
        <v/>
      </c>
    </row>
    <row r="754" spans="1:6" ht="18" x14ac:dyDescent="0.35">
      <c r="A754" s="2"/>
      <c r="B754" s="2"/>
      <c r="C754" s="2"/>
      <c r="D754" s="2"/>
      <c r="E754" s="5" t="str">
        <f>IF(C754="", "", IFERROR(VLOOKUP(C754, Price_List!A:D, IF(Dashboard!$B$9="樂觀(Snipe)", 3, IF(Dashboard!$B$9="悲觀(Panic)", 4, 2)), 0), 0))</f>
        <v/>
      </c>
      <c r="F754" s="5" t="str">
        <f t="shared" si="11"/>
        <v/>
      </c>
    </row>
    <row r="755" spans="1:6" ht="18" x14ac:dyDescent="0.35">
      <c r="A755" s="2"/>
      <c r="B755" s="2"/>
      <c r="C755" s="2"/>
      <c r="D755" s="2"/>
      <c r="E755" s="5" t="str">
        <f>IF(C755="", "", IFERROR(VLOOKUP(C755, Price_List!A:D, IF(Dashboard!$B$9="樂觀(Snipe)", 3, IF(Dashboard!$B$9="悲觀(Panic)", 4, 2)), 0), 0))</f>
        <v/>
      </c>
      <c r="F755" s="5" t="str">
        <f t="shared" si="11"/>
        <v/>
      </c>
    </row>
    <row r="756" spans="1:6" ht="18" x14ac:dyDescent="0.35">
      <c r="A756" s="2"/>
      <c r="B756" s="2"/>
      <c r="C756" s="2"/>
      <c r="D756" s="2"/>
      <c r="E756" s="5" t="str">
        <f>IF(C756="", "", IFERROR(VLOOKUP(C756, Price_List!A:D, IF(Dashboard!$B$9="樂觀(Snipe)", 3, IF(Dashboard!$B$9="悲觀(Panic)", 4, 2)), 0), 0))</f>
        <v/>
      </c>
      <c r="F756" s="5" t="str">
        <f t="shared" si="11"/>
        <v/>
      </c>
    </row>
    <row r="757" spans="1:6" ht="18" x14ac:dyDescent="0.35">
      <c r="A757" s="2"/>
      <c r="B757" s="2"/>
      <c r="C757" s="2"/>
      <c r="D757" s="2"/>
      <c r="E757" s="5" t="str">
        <f>IF(C757="", "", IFERROR(VLOOKUP(C757, Price_List!A:D, IF(Dashboard!$B$9="樂觀(Snipe)", 3, IF(Dashboard!$B$9="悲觀(Panic)", 4, 2)), 0), 0))</f>
        <v/>
      </c>
      <c r="F757" s="5" t="str">
        <f t="shared" si="11"/>
        <v/>
      </c>
    </row>
    <row r="758" spans="1:6" ht="18" x14ac:dyDescent="0.35">
      <c r="A758" s="2"/>
      <c r="B758" s="2"/>
      <c r="C758" s="2"/>
      <c r="D758" s="2"/>
      <c r="E758" s="5" t="str">
        <f>IF(C758="", "", IFERROR(VLOOKUP(C758, Price_List!A:D, IF(Dashboard!$B$9="樂觀(Snipe)", 3, IF(Dashboard!$B$9="悲觀(Panic)", 4, 2)), 0), 0))</f>
        <v/>
      </c>
      <c r="F758" s="5" t="str">
        <f t="shared" si="11"/>
        <v/>
      </c>
    </row>
    <row r="759" spans="1:6" ht="18" x14ac:dyDescent="0.35">
      <c r="A759" s="2"/>
      <c r="B759" s="2"/>
      <c r="C759" s="2"/>
      <c r="D759" s="2"/>
      <c r="E759" s="5" t="str">
        <f>IF(C759="", "", IFERROR(VLOOKUP(C759, Price_List!A:D, IF(Dashboard!$B$9="樂觀(Snipe)", 3, IF(Dashboard!$B$9="悲觀(Panic)", 4, 2)), 0), 0))</f>
        <v/>
      </c>
      <c r="F759" s="5" t="str">
        <f t="shared" si="11"/>
        <v/>
      </c>
    </row>
    <row r="760" spans="1:6" ht="18" x14ac:dyDescent="0.35">
      <c r="A760" s="2"/>
      <c r="B760" s="2"/>
      <c r="C760" s="2"/>
      <c r="D760" s="2"/>
      <c r="E760" s="5" t="str">
        <f>IF(C760="", "", IFERROR(VLOOKUP(C760, Price_List!A:D, IF(Dashboard!$B$9="樂觀(Snipe)", 3, IF(Dashboard!$B$9="悲觀(Panic)", 4, 2)), 0), 0))</f>
        <v/>
      </c>
      <c r="F760" s="5" t="str">
        <f t="shared" si="11"/>
        <v/>
      </c>
    </row>
    <row r="761" spans="1:6" ht="18" x14ac:dyDescent="0.35">
      <c r="A761" s="2"/>
      <c r="B761" s="2"/>
      <c r="C761" s="2"/>
      <c r="D761" s="2"/>
      <c r="E761" s="5" t="str">
        <f>IF(C761="", "", IFERROR(VLOOKUP(C761, Price_List!A:D, IF(Dashboard!$B$9="樂觀(Snipe)", 3, IF(Dashboard!$B$9="悲觀(Panic)", 4, 2)), 0), 0))</f>
        <v/>
      </c>
      <c r="F761" s="5" t="str">
        <f t="shared" si="11"/>
        <v/>
      </c>
    </row>
    <row r="762" spans="1:6" ht="18" x14ac:dyDescent="0.35">
      <c r="A762" s="2"/>
      <c r="B762" s="2"/>
      <c r="C762" s="2"/>
      <c r="D762" s="2"/>
      <c r="E762" s="5" t="str">
        <f>IF(C762="", "", IFERROR(VLOOKUP(C762, Price_List!A:D, IF(Dashboard!$B$9="樂觀(Snipe)", 3, IF(Dashboard!$B$9="悲觀(Panic)", 4, 2)), 0), 0))</f>
        <v/>
      </c>
      <c r="F762" s="5" t="str">
        <f t="shared" si="11"/>
        <v/>
      </c>
    </row>
    <row r="763" spans="1:6" ht="18" x14ac:dyDescent="0.35">
      <c r="A763" s="2"/>
      <c r="B763" s="2"/>
      <c r="C763" s="2"/>
      <c r="D763" s="2"/>
      <c r="E763" s="5" t="str">
        <f>IF(C763="", "", IFERROR(VLOOKUP(C763, Price_List!A:D, IF(Dashboard!$B$9="樂觀(Snipe)", 3, IF(Dashboard!$B$9="悲觀(Panic)", 4, 2)), 0), 0))</f>
        <v/>
      </c>
      <c r="F763" s="5" t="str">
        <f t="shared" si="11"/>
        <v/>
      </c>
    </row>
    <row r="764" spans="1:6" ht="18" x14ac:dyDescent="0.35">
      <c r="A764" s="2"/>
      <c r="B764" s="2"/>
      <c r="C764" s="2"/>
      <c r="D764" s="2"/>
      <c r="E764" s="5" t="str">
        <f>IF(C764="", "", IFERROR(VLOOKUP(C764, Price_List!A:D, IF(Dashboard!$B$9="樂觀(Snipe)", 3, IF(Dashboard!$B$9="悲觀(Panic)", 4, 2)), 0), 0))</f>
        <v/>
      </c>
      <c r="F764" s="5" t="str">
        <f t="shared" si="11"/>
        <v/>
      </c>
    </row>
    <row r="765" spans="1:6" ht="18" x14ac:dyDescent="0.35">
      <c r="A765" s="2"/>
      <c r="B765" s="2"/>
      <c r="C765" s="2"/>
      <c r="D765" s="2"/>
      <c r="E765" s="5" t="str">
        <f>IF(C765="", "", IFERROR(VLOOKUP(C765, Price_List!A:D, IF(Dashboard!$B$9="樂觀(Snipe)", 3, IF(Dashboard!$B$9="悲觀(Panic)", 4, 2)), 0), 0))</f>
        <v/>
      </c>
      <c r="F765" s="5" t="str">
        <f t="shared" si="11"/>
        <v/>
      </c>
    </row>
    <row r="766" spans="1:6" ht="18" x14ac:dyDescent="0.35">
      <c r="A766" s="2"/>
      <c r="B766" s="2"/>
      <c r="C766" s="2"/>
      <c r="D766" s="2"/>
      <c r="E766" s="5" t="str">
        <f>IF(C766="", "", IFERROR(VLOOKUP(C766, Price_List!A:D, IF(Dashboard!$B$9="樂觀(Snipe)", 3, IF(Dashboard!$B$9="悲觀(Panic)", 4, 2)), 0), 0))</f>
        <v/>
      </c>
      <c r="F766" s="5" t="str">
        <f t="shared" si="11"/>
        <v/>
      </c>
    </row>
    <row r="767" spans="1:6" ht="18" x14ac:dyDescent="0.35">
      <c r="A767" s="2"/>
      <c r="B767" s="2"/>
      <c r="C767" s="2"/>
      <c r="D767" s="2"/>
      <c r="E767" s="5" t="str">
        <f>IF(C767="", "", IFERROR(VLOOKUP(C767, Price_List!A:D, IF(Dashboard!$B$9="樂觀(Snipe)", 3, IF(Dashboard!$B$9="悲觀(Panic)", 4, 2)), 0), 0))</f>
        <v/>
      </c>
      <c r="F767" s="5" t="str">
        <f t="shared" si="11"/>
        <v/>
      </c>
    </row>
    <row r="768" spans="1:6" ht="18" x14ac:dyDescent="0.35">
      <c r="A768" s="2"/>
      <c r="B768" s="2"/>
      <c r="C768" s="2"/>
      <c r="D768" s="2"/>
      <c r="E768" s="5" t="str">
        <f>IF(C768="", "", IFERROR(VLOOKUP(C768, Price_List!A:D, IF(Dashboard!$B$9="樂觀(Snipe)", 3, IF(Dashboard!$B$9="悲觀(Panic)", 4, 2)), 0), 0))</f>
        <v/>
      </c>
      <c r="F768" s="5" t="str">
        <f t="shared" si="11"/>
        <v/>
      </c>
    </row>
    <row r="769" spans="1:6" ht="18" x14ac:dyDescent="0.35">
      <c r="A769" s="2"/>
      <c r="B769" s="2"/>
      <c r="C769" s="2"/>
      <c r="D769" s="2"/>
      <c r="E769" s="5" t="str">
        <f>IF(C769="", "", IFERROR(VLOOKUP(C769, Price_List!A:D, IF(Dashboard!$B$9="樂觀(Snipe)", 3, IF(Dashboard!$B$9="悲觀(Panic)", 4, 2)), 0), 0))</f>
        <v/>
      </c>
      <c r="F769" s="5" t="str">
        <f t="shared" si="11"/>
        <v/>
      </c>
    </row>
    <row r="770" spans="1:6" ht="18" x14ac:dyDescent="0.35">
      <c r="A770" s="2"/>
      <c r="B770" s="2"/>
      <c r="C770" s="2"/>
      <c r="D770" s="2"/>
      <c r="E770" s="5" t="str">
        <f>IF(C770="", "", IFERROR(VLOOKUP(C770, Price_List!A:D, IF(Dashboard!$B$9="樂觀(Snipe)", 3, IF(Dashboard!$B$9="悲觀(Panic)", 4, 2)), 0), 0))</f>
        <v/>
      </c>
      <c r="F770" s="5" t="str">
        <f t="shared" ref="F770:F833" si="12">IF(C770="", "", D770*E770)</f>
        <v/>
      </c>
    </row>
    <row r="771" spans="1:6" ht="18" x14ac:dyDescent="0.35">
      <c r="A771" s="2"/>
      <c r="B771" s="2"/>
      <c r="C771" s="2"/>
      <c r="D771" s="2"/>
      <c r="E771" s="5" t="str">
        <f>IF(C771="", "", IFERROR(VLOOKUP(C771, Price_List!A:D, IF(Dashboard!$B$9="樂觀(Snipe)", 3, IF(Dashboard!$B$9="悲觀(Panic)", 4, 2)), 0), 0))</f>
        <v/>
      </c>
      <c r="F771" s="5" t="str">
        <f t="shared" si="12"/>
        <v/>
      </c>
    </row>
    <row r="772" spans="1:6" ht="18" x14ac:dyDescent="0.35">
      <c r="A772" s="2"/>
      <c r="B772" s="2"/>
      <c r="C772" s="2"/>
      <c r="D772" s="2"/>
      <c r="E772" s="5" t="str">
        <f>IF(C772="", "", IFERROR(VLOOKUP(C772, Price_List!A:D, IF(Dashboard!$B$9="樂觀(Snipe)", 3, IF(Dashboard!$B$9="悲觀(Panic)", 4, 2)), 0), 0))</f>
        <v/>
      </c>
      <c r="F772" s="5" t="str">
        <f t="shared" si="12"/>
        <v/>
      </c>
    </row>
    <row r="773" spans="1:6" ht="18" x14ac:dyDescent="0.35">
      <c r="A773" s="2"/>
      <c r="B773" s="2"/>
      <c r="C773" s="2"/>
      <c r="D773" s="2"/>
      <c r="E773" s="5" t="str">
        <f>IF(C773="", "", IFERROR(VLOOKUP(C773, Price_List!A:D, IF(Dashboard!$B$9="樂觀(Snipe)", 3, IF(Dashboard!$B$9="悲觀(Panic)", 4, 2)), 0), 0))</f>
        <v/>
      </c>
      <c r="F773" s="5" t="str">
        <f t="shared" si="12"/>
        <v/>
      </c>
    </row>
    <row r="774" spans="1:6" ht="18" x14ac:dyDescent="0.35">
      <c r="A774" s="2"/>
      <c r="B774" s="2"/>
      <c r="C774" s="2"/>
      <c r="D774" s="2"/>
      <c r="E774" s="5" t="str">
        <f>IF(C774="", "", IFERROR(VLOOKUP(C774, Price_List!A:D, IF(Dashboard!$B$9="樂觀(Snipe)", 3, IF(Dashboard!$B$9="悲觀(Panic)", 4, 2)), 0), 0))</f>
        <v/>
      </c>
      <c r="F774" s="5" t="str">
        <f t="shared" si="12"/>
        <v/>
      </c>
    </row>
    <row r="775" spans="1:6" ht="18" x14ac:dyDescent="0.35">
      <c r="A775" s="2"/>
      <c r="B775" s="2"/>
      <c r="C775" s="2"/>
      <c r="D775" s="2"/>
      <c r="E775" s="5" t="str">
        <f>IF(C775="", "", IFERROR(VLOOKUP(C775, Price_List!A:D, IF(Dashboard!$B$9="樂觀(Snipe)", 3, IF(Dashboard!$B$9="悲觀(Panic)", 4, 2)), 0), 0))</f>
        <v/>
      </c>
      <c r="F775" s="5" t="str">
        <f t="shared" si="12"/>
        <v/>
      </c>
    </row>
    <row r="776" spans="1:6" ht="18" x14ac:dyDescent="0.35">
      <c r="A776" s="2"/>
      <c r="B776" s="2"/>
      <c r="C776" s="2"/>
      <c r="D776" s="2"/>
      <c r="E776" s="5" t="str">
        <f>IF(C776="", "", IFERROR(VLOOKUP(C776, Price_List!A:D, IF(Dashboard!$B$9="樂觀(Snipe)", 3, IF(Dashboard!$B$9="悲觀(Panic)", 4, 2)), 0), 0))</f>
        <v/>
      </c>
      <c r="F776" s="5" t="str">
        <f t="shared" si="12"/>
        <v/>
      </c>
    </row>
    <row r="777" spans="1:6" ht="18" x14ac:dyDescent="0.35">
      <c r="A777" s="2"/>
      <c r="B777" s="2"/>
      <c r="C777" s="2"/>
      <c r="D777" s="2"/>
      <c r="E777" s="5" t="str">
        <f>IF(C777="", "", IFERROR(VLOOKUP(C777, Price_List!A:D, IF(Dashboard!$B$9="樂觀(Snipe)", 3, IF(Dashboard!$B$9="悲觀(Panic)", 4, 2)), 0), 0))</f>
        <v/>
      </c>
      <c r="F777" s="5" t="str">
        <f t="shared" si="12"/>
        <v/>
      </c>
    </row>
    <row r="778" spans="1:6" ht="18" x14ac:dyDescent="0.35">
      <c r="A778" s="2"/>
      <c r="B778" s="2"/>
      <c r="C778" s="2"/>
      <c r="D778" s="2"/>
      <c r="E778" s="5" t="str">
        <f>IF(C778="", "", IFERROR(VLOOKUP(C778, Price_List!A:D, IF(Dashboard!$B$9="樂觀(Snipe)", 3, IF(Dashboard!$B$9="悲觀(Panic)", 4, 2)), 0), 0))</f>
        <v/>
      </c>
      <c r="F778" s="5" t="str">
        <f t="shared" si="12"/>
        <v/>
      </c>
    </row>
    <row r="779" spans="1:6" ht="18" x14ac:dyDescent="0.35">
      <c r="A779" s="2"/>
      <c r="B779" s="2"/>
      <c r="C779" s="2"/>
      <c r="D779" s="2"/>
      <c r="E779" s="5" t="str">
        <f>IF(C779="", "", IFERROR(VLOOKUP(C779, Price_List!A:D, IF(Dashboard!$B$9="樂觀(Snipe)", 3, IF(Dashboard!$B$9="悲觀(Panic)", 4, 2)), 0), 0))</f>
        <v/>
      </c>
      <c r="F779" s="5" t="str">
        <f t="shared" si="12"/>
        <v/>
      </c>
    </row>
    <row r="780" spans="1:6" ht="18" x14ac:dyDescent="0.35">
      <c r="A780" s="2"/>
      <c r="B780" s="2"/>
      <c r="C780" s="2"/>
      <c r="D780" s="2"/>
      <c r="E780" s="5" t="str">
        <f>IF(C780="", "", IFERROR(VLOOKUP(C780, Price_List!A:D, IF(Dashboard!$B$9="樂觀(Snipe)", 3, IF(Dashboard!$B$9="悲觀(Panic)", 4, 2)), 0), 0))</f>
        <v/>
      </c>
      <c r="F780" s="5" t="str">
        <f t="shared" si="12"/>
        <v/>
      </c>
    </row>
    <row r="781" spans="1:6" ht="18" x14ac:dyDescent="0.35">
      <c r="A781" s="2"/>
      <c r="B781" s="2"/>
      <c r="C781" s="2"/>
      <c r="D781" s="2"/>
      <c r="E781" s="5" t="str">
        <f>IF(C781="", "", IFERROR(VLOOKUP(C781, Price_List!A:D, IF(Dashboard!$B$9="樂觀(Snipe)", 3, IF(Dashboard!$B$9="悲觀(Panic)", 4, 2)), 0), 0))</f>
        <v/>
      </c>
      <c r="F781" s="5" t="str">
        <f t="shared" si="12"/>
        <v/>
      </c>
    </row>
    <row r="782" spans="1:6" ht="18" x14ac:dyDescent="0.35">
      <c r="A782" s="2"/>
      <c r="B782" s="2"/>
      <c r="C782" s="2"/>
      <c r="D782" s="2"/>
      <c r="E782" s="5" t="str">
        <f>IF(C782="", "", IFERROR(VLOOKUP(C782, Price_List!A:D, IF(Dashboard!$B$9="樂觀(Snipe)", 3, IF(Dashboard!$B$9="悲觀(Panic)", 4, 2)), 0), 0))</f>
        <v/>
      </c>
      <c r="F782" s="5" t="str">
        <f t="shared" si="12"/>
        <v/>
      </c>
    </row>
    <row r="783" spans="1:6" ht="18" x14ac:dyDescent="0.35">
      <c r="A783" s="2"/>
      <c r="B783" s="2"/>
      <c r="C783" s="2"/>
      <c r="D783" s="2"/>
      <c r="E783" s="5" t="str">
        <f>IF(C783="", "", IFERROR(VLOOKUP(C783, Price_List!A:D, IF(Dashboard!$B$9="樂觀(Snipe)", 3, IF(Dashboard!$B$9="悲觀(Panic)", 4, 2)), 0), 0))</f>
        <v/>
      </c>
      <c r="F783" s="5" t="str">
        <f t="shared" si="12"/>
        <v/>
      </c>
    </row>
    <row r="784" spans="1:6" ht="18" x14ac:dyDescent="0.35">
      <c r="A784" s="2"/>
      <c r="B784" s="2"/>
      <c r="C784" s="2"/>
      <c r="D784" s="2"/>
      <c r="E784" s="5" t="str">
        <f>IF(C784="", "", IFERROR(VLOOKUP(C784, Price_List!A:D, IF(Dashboard!$B$9="樂觀(Snipe)", 3, IF(Dashboard!$B$9="悲觀(Panic)", 4, 2)), 0), 0))</f>
        <v/>
      </c>
      <c r="F784" s="5" t="str">
        <f t="shared" si="12"/>
        <v/>
      </c>
    </row>
    <row r="785" spans="1:6" ht="18" x14ac:dyDescent="0.35">
      <c r="A785" s="2"/>
      <c r="B785" s="2"/>
      <c r="C785" s="2"/>
      <c r="D785" s="2"/>
      <c r="E785" s="5" t="str">
        <f>IF(C785="", "", IFERROR(VLOOKUP(C785, Price_List!A:D, IF(Dashboard!$B$9="樂觀(Snipe)", 3, IF(Dashboard!$B$9="悲觀(Panic)", 4, 2)), 0), 0))</f>
        <v/>
      </c>
      <c r="F785" s="5" t="str">
        <f t="shared" si="12"/>
        <v/>
      </c>
    </row>
    <row r="786" spans="1:6" ht="18" x14ac:dyDescent="0.35">
      <c r="A786" s="2"/>
      <c r="B786" s="2"/>
      <c r="C786" s="2"/>
      <c r="D786" s="2"/>
      <c r="E786" s="5" t="str">
        <f>IF(C786="", "", IFERROR(VLOOKUP(C786, Price_List!A:D, IF(Dashboard!$B$9="樂觀(Snipe)", 3, IF(Dashboard!$B$9="悲觀(Panic)", 4, 2)), 0), 0))</f>
        <v/>
      </c>
      <c r="F786" s="5" t="str">
        <f t="shared" si="12"/>
        <v/>
      </c>
    </row>
    <row r="787" spans="1:6" ht="18" x14ac:dyDescent="0.35">
      <c r="A787" s="2"/>
      <c r="B787" s="2"/>
      <c r="C787" s="2"/>
      <c r="D787" s="2"/>
      <c r="E787" s="5" t="str">
        <f>IF(C787="", "", IFERROR(VLOOKUP(C787, Price_List!A:D, IF(Dashboard!$B$9="樂觀(Snipe)", 3, IF(Dashboard!$B$9="悲觀(Panic)", 4, 2)), 0), 0))</f>
        <v/>
      </c>
      <c r="F787" s="5" t="str">
        <f t="shared" si="12"/>
        <v/>
      </c>
    </row>
    <row r="788" spans="1:6" ht="18" x14ac:dyDescent="0.35">
      <c r="A788" s="2"/>
      <c r="B788" s="2"/>
      <c r="C788" s="2"/>
      <c r="D788" s="2"/>
      <c r="E788" s="5" t="str">
        <f>IF(C788="", "", IFERROR(VLOOKUP(C788, Price_List!A:D, IF(Dashboard!$B$9="樂觀(Snipe)", 3, IF(Dashboard!$B$9="悲觀(Panic)", 4, 2)), 0), 0))</f>
        <v/>
      </c>
      <c r="F788" s="5" t="str">
        <f t="shared" si="12"/>
        <v/>
      </c>
    </row>
    <row r="789" spans="1:6" ht="18" x14ac:dyDescent="0.35">
      <c r="A789" s="2"/>
      <c r="B789" s="2"/>
      <c r="C789" s="2"/>
      <c r="D789" s="2"/>
      <c r="E789" s="5" t="str">
        <f>IF(C789="", "", IFERROR(VLOOKUP(C789, Price_List!A:D, IF(Dashboard!$B$9="樂觀(Snipe)", 3, IF(Dashboard!$B$9="悲觀(Panic)", 4, 2)), 0), 0))</f>
        <v/>
      </c>
      <c r="F789" s="5" t="str">
        <f t="shared" si="12"/>
        <v/>
      </c>
    </row>
    <row r="790" spans="1:6" ht="18" x14ac:dyDescent="0.35">
      <c r="A790" s="2"/>
      <c r="B790" s="2"/>
      <c r="C790" s="2"/>
      <c r="D790" s="2"/>
      <c r="E790" s="5" t="str">
        <f>IF(C790="", "", IFERROR(VLOOKUP(C790, Price_List!A:D, IF(Dashboard!$B$9="樂觀(Snipe)", 3, IF(Dashboard!$B$9="悲觀(Panic)", 4, 2)), 0), 0))</f>
        <v/>
      </c>
      <c r="F790" s="5" t="str">
        <f t="shared" si="12"/>
        <v/>
      </c>
    </row>
    <row r="791" spans="1:6" ht="18" x14ac:dyDescent="0.35">
      <c r="A791" s="2"/>
      <c r="B791" s="2"/>
      <c r="C791" s="2"/>
      <c r="D791" s="2"/>
      <c r="E791" s="5" t="str">
        <f>IF(C791="", "", IFERROR(VLOOKUP(C791, Price_List!A:D, IF(Dashboard!$B$9="樂觀(Snipe)", 3, IF(Dashboard!$B$9="悲觀(Panic)", 4, 2)), 0), 0))</f>
        <v/>
      </c>
      <c r="F791" s="5" t="str">
        <f t="shared" si="12"/>
        <v/>
      </c>
    </row>
    <row r="792" spans="1:6" ht="18" x14ac:dyDescent="0.35">
      <c r="A792" s="2"/>
      <c r="B792" s="2"/>
      <c r="C792" s="2"/>
      <c r="D792" s="2"/>
      <c r="E792" s="5" t="str">
        <f>IF(C792="", "", IFERROR(VLOOKUP(C792, Price_List!A:D, IF(Dashboard!$B$9="樂觀(Snipe)", 3, IF(Dashboard!$B$9="悲觀(Panic)", 4, 2)), 0), 0))</f>
        <v/>
      </c>
      <c r="F792" s="5" t="str">
        <f t="shared" si="12"/>
        <v/>
      </c>
    </row>
    <row r="793" spans="1:6" ht="18" x14ac:dyDescent="0.35">
      <c r="A793" s="2"/>
      <c r="B793" s="2"/>
      <c r="C793" s="2"/>
      <c r="D793" s="2"/>
      <c r="E793" s="5" t="str">
        <f>IF(C793="", "", IFERROR(VLOOKUP(C793, Price_List!A:D, IF(Dashboard!$B$9="樂觀(Snipe)", 3, IF(Dashboard!$B$9="悲觀(Panic)", 4, 2)), 0), 0))</f>
        <v/>
      </c>
      <c r="F793" s="5" t="str">
        <f t="shared" si="12"/>
        <v/>
      </c>
    </row>
    <row r="794" spans="1:6" ht="18" x14ac:dyDescent="0.35">
      <c r="A794" s="2"/>
      <c r="B794" s="2"/>
      <c r="C794" s="2"/>
      <c r="D794" s="2"/>
      <c r="E794" s="5" t="str">
        <f>IF(C794="", "", IFERROR(VLOOKUP(C794, Price_List!A:D, IF(Dashboard!$B$9="樂觀(Snipe)", 3, IF(Dashboard!$B$9="悲觀(Panic)", 4, 2)), 0), 0))</f>
        <v/>
      </c>
      <c r="F794" s="5" t="str">
        <f t="shared" si="12"/>
        <v/>
      </c>
    </row>
    <row r="795" spans="1:6" ht="18" x14ac:dyDescent="0.35">
      <c r="A795" s="2"/>
      <c r="B795" s="2"/>
      <c r="C795" s="2"/>
      <c r="D795" s="2"/>
      <c r="E795" s="5" t="str">
        <f>IF(C795="", "", IFERROR(VLOOKUP(C795, Price_List!A:D, IF(Dashboard!$B$9="樂觀(Snipe)", 3, IF(Dashboard!$B$9="悲觀(Panic)", 4, 2)), 0), 0))</f>
        <v/>
      </c>
      <c r="F795" s="5" t="str">
        <f t="shared" si="12"/>
        <v/>
      </c>
    </row>
    <row r="796" spans="1:6" ht="18" x14ac:dyDescent="0.35">
      <c r="A796" s="2"/>
      <c r="B796" s="2"/>
      <c r="C796" s="2"/>
      <c r="D796" s="2"/>
      <c r="E796" s="5" t="str">
        <f>IF(C796="", "", IFERROR(VLOOKUP(C796, Price_List!A:D, IF(Dashboard!$B$9="樂觀(Snipe)", 3, IF(Dashboard!$B$9="悲觀(Panic)", 4, 2)), 0), 0))</f>
        <v/>
      </c>
      <c r="F796" s="5" t="str">
        <f t="shared" si="12"/>
        <v/>
      </c>
    </row>
    <row r="797" spans="1:6" ht="18" x14ac:dyDescent="0.35">
      <c r="A797" s="2"/>
      <c r="B797" s="2"/>
      <c r="C797" s="2"/>
      <c r="D797" s="2"/>
      <c r="E797" s="5" t="str">
        <f>IF(C797="", "", IFERROR(VLOOKUP(C797, Price_List!A:D, IF(Dashboard!$B$9="樂觀(Snipe)", 3, IF(Dashboard!$B$9="悲觀(Panic)", 4, 2)), 0), 0))</f>
        <v/>
      </c>
      <c r="F797" s="5" t="str">
        <f t="shared" si="12"/>
        <v/>
      </c>
    </row>
    <row r="798" spans="1:6" ht="18" x14ac:dyDescent="0.35">
      <c r="A798" s="2"/>
      <c r="B798" s="2"/>
      <c r="C798" s="2"/>
      <c r="D798" s="2"/>
      <c r="E798" s="5" t="str">
        <f>IF(C798="", "", IFERROR(VLOOKUP(C798, Price_List!A:D, IF(Dashboard!$B$9="樂觀(Snipe)", 3, IF(Dashboard!$B$9="悲觀(Panic)", 4, 2)), 0), 0))</f>
        <v/>
      </c>
      <c r="F798" s="5" t="str">
        <f t="shared" si="12"/>
        <v/>
      </c>
    </row>
    <row r="799" spans="1:6" ht="18" x14ac:dyDescent="0.35">
      <c r="A799" s="2"/>
      <c r="B799" s="2"/>
      <c r="C799" s="2"/>
      <c r="D799" s="2"/>
      <c r="E799" s="5" t="str">
        <f>IF(C799="", "", IFERROR(VLOOKUP(C799, Price_List!A:D, IF(Dashboard!$B$9="樂觀(Snipe)", 3, IF(Dashboard!$B$9="悲觀(Panic)", 4, 2)), 0), 0))</f>
        <v/>
      </c>
      <c r="F799" s="5" t="str">
        <f t="shared" si="12"/>
        <v/>
      </c>
    </row>
    <row r="800" spans="1:6" ht="18" x14ac:dyDescent="0.35">
      <c r="A800" s="2"/>
      <c r="B800" s="2"/>
      <c r="C800" s="2"/>
      <c r="D800" s="2"/>
      <c r="E800" s="5" t="str">
        <f>IF(C800="", "", IFERROR(VLOOKUP(C800, Price_List!A:D, IF(Dashboard!$B$9="樂觀(Snipe)", 3, IF(Dashboard!$B$9="悲觀(Panic)", 4, 2)), 0), 0))</f>
        <v/>
      </c>
      <c r="F800" s="5" t="str">
        <f t="shared" si="12"/>
        <v/>
      </c>
    </row>
    <row r="801" spans="1:6" ht="18" x14ac:dyDescent="0.35">
      <c r="A801" s="2"/>
      <c r="B801" s="2"/>
      <c r="C801" s="2"/>
      <c r="D801" s="2"/>
      <c r="E801" s="5" t="str">
        <f>IF(C801="", "", IFERROR(VLOOKUP(C801, Price_List!A:D, IF(Dashboard!$B$9="樂觀(Snipe)", 3, IF(Dashboard!$B$9="悲觀(Panic)", 4, 2)), 0), 0))</f>
        <v/>
      </c>
      <c r="F801" s="5" t="str">
        <f t="shared" si="12"/>
        <v/>
      </c>
    </row>
    <row r="802" spans="1:6" ht="18" x14ac:dyDescent="0.35">
      <c r="A802" s="2"/>
      <c r="B802" s="2"/>
      <c r="C802" s="2"/>
      <c r="D802" s="2"/>
      <c r="E802" s="5" t="str">
        <f>IF(C802="", "", IFERROR(VLOOKUP(C802, Price_List!A:D, IF(Dashboard!$B$9="樂觀(Snipe)", 3, IF(Dashboard!$B$9="悲觀(Panic)", 4, 2)), 0), 0))</f>
        <v/>
      </c>
      <c r="F802" s="5" t="str">
        <f t="shared" si="12"/>
        <v/>
      </c>
    </row>
    <row r="803" spans="1:6" ht="18" x14ac:dyDescent="0.35">
      <c r="A803" s="2"/>
      <c r="B803" s="2"/>
      <c r="C803" s="2"/>
      <c r="D803" s="2"/>
      <c r="E803" s="5" t="str">
        <f>IF(C803="", "", IFERROR(VLOOKUP(C803, Price_List!A:D, IF(Dashboard!$B$9="樂觀(Snipe)", 3, IF(Dashboard!$B$9="悲觀(Panic)", 4, 2)), 0), 0))</f>
        <v/>
      </c>
      <c r="F803" s="5" t="str">
        <f t="shared" si="12"/>
        <v/>
      </c>
    </row>
    <row r="804" spans="1:6" ht="18" x14ac:dyDescent="0.35">
      <c r="A804" s="2"/>
      <c r="B804" s="2"/>
      <c r="C804" s="2"/>
      <c r="D804" s="2"/>
      <c r="E804" s="5" t="str">
        <f>IF(C804="", "", IFERROR(VLOOKUP(C804, Price_List!A:D, IF(Dashboard!$B$9="樂觀(Snipe)", 3, IF(Dashboard!$B$9="悲觀(Panic)", 4, 2)), 0), 0))</f>
        <v/>
      </c>
      <c r="F804" s="5" t="str">
        <f t="shared" si="12"/>
        <v/>
      </c>
    </row>
    <row r="805" spans="1:6" ht="18" x14ac:dyDescent="0.35">
      <c r="A805" s="2"/>
      <c r="B805" s="2"/>
      <c r="C805" s="2"/>
      <c r="D805" s="2"/>
      <c r="E805" s="5" t="str">
        <f>IF(C805="", "", IFERROR(VLOOKUP(C805, Price_List!A:D, IF(Dashboard!$B$9="樂觀(Snipe)", 3, IF(Dashboard!$B$9="悲觀(Panic)", 4, 2)), 0), 0))</f>
        <v/>
      </c>
      <c r="F805" s="5" t="str">
        <f t="shared" si="12"/>
        <v/>
      </c>
    </row>
    <row r="806" spans="1:6" ht="18" x14ac:dyDescent="0.35">
      <c r="A806" s="2"/>
      <c r="B806" s="2"/>
      <c r="C806" s="2"/>
      <c r="D806" s="2"/>
      <c r="E806" s="5" t="str">
        <f>IF(C806="", "", IFERROR(VLOOKUP(C806, Price_List!A:D, IF(Dashboard!$B$9="樂觀(Snipe)", 3, IF(Dashboard!$B$9="悲觀(Panic)", 4, 2)), 0), 0))</f>
        <v/>
      </c>
      <c r="F806" s="5" t="str">
        <f t="shared" si="12"/>
        <v/>
      </c>
    </row>
    <row r="807" spans="1:6" ht="18" x14ac:dyDescent="0.35">
      <c r="A807" s="2"/>
      <c r="B807" s="2"/>
      <c r="C807" s="2"/>
      <c r="D807" s="2"/>
      <c r="E807" s="5" t="str">
        <f>IF(C807="", "", IFERROR(VLOOKUP(C807, Price_List!A:D, IF(Dashboard!$B$9="樂觀(Snipe)", 3, IF(Dashboard!$B$9="悲觀(Panic)", 4, 2)), 0), 0))</f>
        <v/>
      </c>
      <c r="F807" s="5" t="str">
        <f t="shared" si="12"/>
        <v/>
      </c>
    </row>
    <row r="808" spans="1:6" ht="18" x14ac:dyDescent="0.35">
      <c r="A808" s="2"/>
      <c r="B808" s="2"/>
      <c r="C808" s="2"/>
      <c r="D808" s="2"/>
      <c r="E808" s="5" t="str">
        <f>IF(C808="", "", IFERROR(VLOOKUP(C808, Price_List!A:D, IF(Dashboard!$B$9="樂觀(Snipe)", 3, IF(Dashboard!$B$9="悲觀(Panic)", 4, 2)), 0), 0))</f>
        <v/>
      </c>
      <c r="F808" s="5" t="str">
        <f t="shared" si="12"/>
        <v/>
      </c>
    </row>
    <row r="809" spans="1:6" ht="18" x14ac:dyDescent="0.35">
      <c r="A809" s="2"/>
      <c r="B809" s="2"/>
      <c r="C809" s="2"/>
      <c r="D809" s="2"/>
      <c r="E809" s="5" t="str">
        <f>IF(C809="", "", IFERROR(VLOOKUP(C809, Price_List!A:D, IF(Dashboard!$B$9="樂觀(Snipe)", 3, IF(Dashboard!$B$9="悲觀(Panic)", 4, 2)), 0), 0))</f>
        <v/>
      </c>
      <c r="F809" s="5" t="str">
        <f t="shared" si="12"/>
        <v/>
      </c>
    </row>
    <row r="810" spans="1:6" ht="18" x14ac:dyDescent="0.35">
      <c r="A810" s="2"/>
      <c r="B810" s="2"/>
      <c r="C810" s="2"/>
      <c r="D810" s="2"/>
      <c r="E810" s="5" t="str">
        <f>IF(C810="", "", IFERROR(VLOOKUP(C810, Price_List!A:D, IF(Dashboard!$B$9="樂觀(Snipe)", 3, IF(Dashboard!$B$9="悲觀(Panic)", 4, 2)), 0), 0))</f>
        <v/>
      </c>
      <c r="F810" s="5" t="str">
        <f t="shared" si="12"/>
        <v/>
      </c>
    </row>
    <row r="811" spans="1:6" ht="18" x14ac:dyDescent="0.35">
      <c r="A811" s="2"/>
      <c r="B811" s="2"/>
      <c r="C811" s="2"/>
      <c r="D811" s="2"/>
      <c r="E811" s="5" t="str">
        <f>IF(C811="", "", IFERROR(VLOOKUP(C811, Price_List!A:D, IF(Dashboard!$B$9="樂觀(Snipe)", 3, IF(Dashboard!$B$9="悲觀(Panic)", 4, 2)), 0), 0))</f>
        <v/>
      </c>
      <c r="F811" s="5" t="str">
        <f t="shared" si="12"/>
        <v/>
      </c>
    </row>
    <row r="812" spans="1:6" ht="18" x14ac:dyDescent="0.35">
      <c r="A812" s="2"/>
      <c r="B812" s="2"/>
      <c r="C812" s="2"/>
      <c r="D812" s="2"/>
      <c r="E812" s="5" t="str">
        <f>IF(C812="", "", IFERROR(VLOOKUP(C812, Price_List!A:D, IF(Dashboard!$B$9="樂觀(Snipe)", 3, IF(Dashboard!$B$9="悲觀(Panic)", 4, 2)), 0), 0))</f>
        <v/>
      </c>
      <c r="F812" s="5" t="str">
        <f t="shared" si="12"/>
        <v/>
      </c>
    </row>
    <row r="813" spans="1:6" ht="18" x14ac:dyDescent="0.35">
      <c r="A813" s="2"/>
      <c r="B813" s="2"/>
      <c r="C813" s="2"/>
      <c r="D813" s="2"/>
      <c r="E813" s="5" t="str">
        <f>IF(C813="", "", IFERROR(VLOOKUP(C813, Price_List!A:D, IF(Dashboard!$B$9="樂觀(Snipe)", 3, IF(Dashboard!$B$9="悲觀(Panic)", 4, 2)), 0), 0))</f>
        <v/>
      </c>
      <c r="F813" s="5" t="str">
        <f t="shared" si="12"/>
        <v/>
      </c>
    </row>
    <row r="814" spans="1:6" ht="18" x14ac:dyDescent="0.35">
      <c r="A814" s="2"/>
      <c r="B814" s="2"/>
      <c r="C814" s="2"/>
      <c r="D814" s="2"/>
      <c r="E814" s="5" t="str">
        <f>IF(C814="", "", IFERROR(VLOOKUP(C814, Price_List!A:D, IF(Dashboard!$B$9="樂觀(Snipe)", 3, IF(Dashboard!$B$9="悲觀(Panic)", 4, 2)), 0), 0))</f>
        <v/>
      </c>
      <c r="F814" s="5" t="str">
        <f t="shared" si="12"/>
        <v/>
      </c>
    </row>
    <row r="815" spans="1:6" ht="18" x14ac:dyDescent="0.35">
      <c r="A815" s="2"/>
      <c r="B815" s="2"/>
      <c r="C815" s="2"/>
      <c r="D815" s="2"/>
      <c r="E815" s="5" t="str">
        <f>IF(C815="", "", IFERROR(VLOOKUP(C815, Price_List!A:D, IF(Dashboard!$B$9="樂觀(Snipe)", 3, IF(Dashboard!$B$9="悲觀(Panic)", 4, 2)), 0), 0))</f>
        <v/>
      </c>
      <c r="F815" s="5" t="str">
        <f t="shared" si="12"/>
        <v/>
      </c>
    </row>
    <row r="816" spans="1:6" ht="18" x14ac:dyDescent="0.35">
      <c r="A816" s="2"/>
      <c r="B816" s="2"/>
      <c r="C816" s="2"/>
      <c r="D816" s="2"/>
      <c r="E816" s="5" t="str">
        <f>IF(C816="", "", IFERROR(VLOOKUP(C816, Price_List!A:D, IF(Dashboard!$B$9="樂觀(Snipe)", 3, IF(Dashboard!$B$9="悲觀(Panic)", 4, 2)), 0), 0))</f>
        <v/>
      </c>
      <c r="F816" s="5" t="str">
        <f t="shared" si="12"/>
        <v/>
      </c>
    </row>
    <row r="817" spans="1:6" ht="18" x14ac:dyDescent="0.35">
      <c r="A817" s="2"/>
      <c r="B817" s="2"/>
      <c r="C817" s="2"/>
      <c r="D817" s="2"/>
      <c r="E817" s="5" t="str">
        <f>IF(C817="", "", IFERROR(VLOOKUP(C817, Price_List!A:D, IF(Dashboard!$B$9="樂觀(Snipe)", 3, IF(Dashboard!$B$9="悲觀(Panic)", 4, 2)), 0), 0))</f>
        <v/>
      </c>
      <c r="F817" s="5" t="str">
        <f t="shared" si="12"/>
        <v/>
      </c>
    </row>
    <row r="818" spans="1:6" ht="18" x14ac:dyDescent="0.35">
      <c r="A818" s="2"/>
      <c r="B818" s="2"/>
      <c r="C818" s="2"/>
      <c r="D818" s="2"/>
      <c r="E818" s="5" t="str">
        <f>IF(C818="", "", IFERROR(VLOOKUP(C818, Price_List!A:D, IF(Dashboard!$B$9="樂觀(Snipe)", 3, IF(Dashboard!$B$9="悲觀(Panic)", 4, 2)), 0), 0))</f>
        <v/>
      </c>
      <c r="F818" s="5" t="str">
        <f t="shared" si="12"/>
        <v/>
      </c>
    </row>
    <row r="819" spans="1:6" ht="18" x14ac:dyDescent="0.35">
      <c r="A819" s="2"/>
      <c r="B819" s="2"/>
      <c r="C819" s="2"/>
      <c r="D819" s="2"/>
      <c r="E819" s="5" t="str">
        <f>IF(C819="", "", IFERROR(VLOOKUP(C819, Price_List!A:D, IF(Dashboard!$B$9="樂觀(Snipe)", 3, IF(Dashboard!$B$9="悲觀(Panic)", 4, 2)), 0), 0))</f>
        <v/>
      </c>
      <c r="F819" s="5" t="str">
        <f t="shared" si="12"/>
        <v/>
      </c>
    </row>
    <row r="820" spans="1:6" ht="18" x14ac:dyDescent="0.35">
      <c r="A820" s="2"/>
      <c r="B820" s="2"/>
      <c r="C820" s="2"/>
      <c r="D820" s="2"/>
      <c r="E820" s="5" t="str">
        <f>IF(C820="", "", IFERROR(VLOOKUP(C820, Price_List!A:D, IF(Dashboard!$B$9="樂觀(Snipe)", 3, IF(Dashboard!$B$9="悲觀(Panic)", 4, 2)), 0), 0))</f>
        <v/>
      </c>
      <c r="F820" s="5" t="str">
        <f t="shared" si="12"/>
        <v/>
      </c>
    </row>
    <row r="821" spans="1:6" ht="18" x14ac:dyDescent="0.35">
      <c r="A821" s="2"/>
      <c r="B821" s="2"/>
      <c r="C821" s="2"/>
      <c r="D821" s="2"/>
      <c r="E821" s="5" t="str">
        <f>IF(C821="", "", IFERROR(VLOOKUP(C821, Price_List!A:D, IF(Dashboard!$B$9="樂觀(Snipe)", 3, IF(Dashboard!$B$9="悲觀(Panic)", 4, 2)), 0), 0))</f>
        <v/>
      </c>
      <c r="F821" s="5" t="str">
        <f t="shared" si="12"/>
        <v/>
      </c>
    </row>
    <row r="822" spans="1:6" ht="18" x14ac:dyDescent="0.35">
      <c r="A822" s="2"/>
      <c r="B822" s="2"/>
      <c r="C822" s="2"/>
      <c r="D822" s="2"/>
      <c r="E822" s="5" t="str">
        <f>IF(C822="", "", IFERROR(VLOOKUP(C822, Price_List!A:D, IF(Dashboard!$B$9="樂觀(Snipe)", 3, IF(Dashboard!$B$9="悲觀(Panic)", 4, 2)), 0), 0))</f>
        <v/>
      </c>
      <c r="F822" s="5" t="str">
        <f t="shared" si="12"/>
        <v/>
      </c>
    </row>
    <row r="823" spans="1:6" ht="18" x14ac:dyDescent="0.35">
      <c r="A823" s="2"/>
      <c r="B823" s="2"/>
      <c r="C823" s="2"/>
      <c r="D823" s="2"/>
      <c r="E823" s="5" t="str">
        <f>IF(C823="", "", IFERROR(VLOOKUP(C823, Price_List!A:D, IF(Dashboard!$B$9="樂觀(Snipe)", 3, IF(Dashboard!$B$9="悲觀(Panic)", 4, 2)), 0), 0))</f>
        <v/>
      </c>
      <c r="F823" s="5" t="str">
        <f t="shared" si="12"/>
        <v/>
      </c>
    </row>
    <row r="824" spans="1:6" ht="18" x14ac:dyDescent="0.35">
      <c r="A824" s="2"/>
      <c r="B824" s="2"/>
      <c r="C824" s="2"/>
      <c r="D824" s="2"/>
      <c r="E824" s="5" t="str">
        <f>IF(C824="", "", IFERROR(VLOOKUP(C824, Price_List!A:D, IF(Dashboard!$B$9="樂觀(Snipe)", 3, IF(Dashboard!$B$9="悲觀(Panic)", 4, 2)), 0), 0))</f>
        <v/>
      </c>
      <c r="F824" s="5" t="str">
        <f t="shared" si="12"/>
        <v/>
      </c>
    </row>
    <row r="825" spans="1:6" ht="18" x14ac:dyDescent="0.35">
      <c r="A825" s="2"/>
      <c r="B825" s="2"/>
      <c r="C825" s="2"/>
      <c r="D825" s="2"/>
      <c r="E825" s="5" t="str">
        <f>IF(C825="", "", IFERROR(VLOOKUP(C825, Price_List!A:D, IF(Dashboard!$B$9="樂觀(Snipe)", 3, IF(Dashboard!$B$9="悲觀(Panic)", 4, 2)), 0), 0))</f>
        <v/>
      </c>
      <c r="F825" s="5" t="str">
        <f t="shared" si="12"/>
        <v/>
      </c>
    </row>
    <row r="826" spans="1:6" ht="18" x14ac:dyDescent="0.35">
      <c r="A826" s="2"/>
      <c r="B826" s="2"/>
      <c r="C826" s="2"/>
      <c r="D826" s="2"/>
      <c r="E826" s="5" t="str">
        <f>IF(C826="", "", IFERROR(VLOOKUP(C826, Price_List!A:D, IF(Dashboard!$B$9="樂觀(Snipe)", 3, IF(Dashboard!$B$9="悲觀(Panic)", 4, 2)), 0), 0))</f>
        <v/>
      </c>
      <c r="F826" s="5" t="str">
        <f t="shared" si="12"/>
        <v/>
      </c>
    </row>
    <row r="827" spans="1:6" ht="18" x14ac:dyDescent="0.35">
      <c r="A827" s="2"/>
      <c r="B827" s="2"/>
      <c r="C827" s="2"/>
      <c r="D827" s="2"/>
      <c r="E827" s="5" t="str">
        <f>IF(C827="", "", IFERROR(VLOOKUP(C827, Price_List!A:D, IF(Dashboard!$B$9="樂觀(Snipe)", 3, IF(Dashboard!$B$9="悲觀(Panic)", 4, 2)), 0), 0))</f>
        <v/>
      </c>
      <c r="F827" s="5" t="str">
        <f t="shared" si="12"/>
        <v/>
      </c>
    </row>
    <row r="828" spans="1:6" ht="18" x14ac:dyDescent="0.35">
      <c r="A828" s="2"/>
      <c r="B828" s="2"/>
      <c r="C828" s="2"/>
      <c r="D828" s="2"/>
      <c r="E828" s="5" t="str">
        <f>IF(C828="", "", IFERROR(VLOOKUP(C828, Price_List!A:D, IF(Dashboard!$B$9="樂觀(Snipe)", 3, IF(Dashboard!$B$9="悲觀(Panic)", 4, 2)), 0), 0))</f>
        <v/>
      </c>
      <c r="F828" s="5" t="str">
        <f t="shared" si="12"/>
        <v/>
      </c>
    </row>
    <row r="829" spans="1:6" ht="18" x14ac:dyDescent="0.35">
      <c r="A829" s="2"/>
      <c r="B829" s="2"/>
      <c r="C829" s="2"/>
      <c r="D829" s="2"/>
      <c r="E829" s="5" t="str">
        <f>IF(C829="", "", IFERROR(VLOOKUP(C829, Price_List!A:D, IF(Dashboard!$B$9="樂觀(Snipe)", 3, IF(Dashboard!$B$9="悲觀(Panic)", 4, 2)), 0), 0))</f>
        <v/>
      </c>
      <c r="F829" s="5" t="str">
        <f t="shared" si="12"/>
        <v/>
      </c>
    </row>
    <row r="830" spans="1:6" ht="18" x14ac:dyDescent="0.35">
      <c r="A830" s="2"/>
      <c r="B830" s="2"/>
      <c r="C830" s="2"/>
      <c r="D830" s="2"/>
      <c r="E830" s="5" t="str">
        <f>IF(C830="", "", IFERROR(VLOOKUP(C830, Price_List!A:D, IF(Dashboard!$B$9="樂觀(Snipe)", 3, IF(Dashboard!$B$9="悲觀(Panic)", 4, 2)), 0), 0))</f>
        <v/>
      </c>
      <c r="F830" s="5" t="str">
        <f t="shared" si="12"/>
        <v/>
      </c>
    </row>
    <row r="831" spans="1:6" ht="18" x14ac:dyDescent="0.35">
      <c r="A831" s="2"/>
      <c r="B831" s="2"/>
      <c r="C831" s="2"/>
      <c r="D831" s="2"/>
      <c r="E831" s="5" t="str">
        <f>IF(C831="", "", IFERROR(VLOOKUP(C831, Price_List!A:D, IF(Dashboard!$B$9="樂觀(Snipe)", 3, IF(Dashboard!$B$9="悲觀(Panic)", 4, 2)), 0), 0))</f>
        <v/>
      </c>
      <c r="F831" s="5" t="str">
        <f t="shared" si="12"/>
        <v/>
      </c>
    </row>
    <row r="832" spans="1:6" ht="18" x14ac:dyDescent="0.35">
      <c r="A832" s="2"/>
      <c r="B832" s="2"/>
      <c r="C832" s="2"/>
      <c r="D832" s="2"/>
      <c r="E832" s="5" t="str">
        <f>IF(C832="", "", IFERROR(VLOOKUP(C832, Price_List!A:D, IF(Dashboard!$B$9="樂觀(Snipe)", 3, IF(Dashboard!$B$9="悲觀(Panic)", 4, 2)), 0), 0))</f>
        <v/>
      </c>
      <c r="F832" s="5" t="str">
        <f t="shared" si="12"/>
        <v/>
      </c>
    </row>
    <row r="833" spans="1:6" ht="18" x14ac:dyDescent="0.35">
      <c r="A833" s="2"/>
      <c r="B833" s="2"/>
      <c r="C833" s="2"/>
      <c r="D833" s="2"/>
      <c r="E833" s="5" t="str">
        <f>IF(C833="", "", IFERROR(VLOOKUP(C833, Price_List!A:D, IF(Dashboard!$B$9="樂觀(Snipe)", 3, IF(Dashboard!$B$9="悲觀(Panic)", 4, 2)), 0), 0))</f>
        <v/>
      </c>
      <c r="F833" s="5" t="str">
        <f t="shared" si="12"/>
        <v/>
      </c>
    </row>
    <row r="834" spans="1:6" ht="18" x14ac:dyDescent="0.35">
      <c r="A834" s="2"/>
      <c r="B834" s="2"/>
      <c r="C834" s="2"/>
      <c r="D834" s="2"/>
      <c r="E834" s="5" t="str">
        <f>IF(C834="", "", IFERROR(VLOOKUP(C834, Price_List!A:D, IF(Dashboard!$B$9="樂觀(Snipe)", 3, IF(Dashboard!$B$9="悲觀(Panic)", 4, 2)), 0), 0))</f>
        <v/>
      </c>
      <c r="F834" s="5" t="str">
        <f t="shared" ref="F834:F897" si="13">IF(C834="", "", D834*E834)</f>
        <v/>
      </c>
    </row>
    <row r="835" spans="1:6" ht="18" x14ac:dyDescent="0.35">
      <c r="A835" s="2"/>
      <c r="B835" s="2"/>
      <c r="C835" s="2"/>
      <c r="D835" s="2"/>
      <c r="E835" s="5" t="str">
        <f>IF(C835="", "", IFERROR(VLOOKUP(C835, Price_List!A:D, IF(Dashboard!$B$9="樂觀(Snipe)", 3, IF(Dashboard!$B$9="悲觀(Panic)", 4, 2)), 0), 0))</f>
        <v/>
      </c>
      <c r="F835" s="5" t="str">
        <f t="shared" si="13"/>
        <v/>
      </c>
    </row>
    <row r="836" spans="1:6" ht="18" x14ac:dyDescent="0.35">
      <c r="A836" s="2"/>
      <c r="B836" s="2"/>
      <c r="C836" s="2"/>
      <c r="D836" s="2"/>
      <c r="E836" s="5" t="str">
        <f>IF(C836="", "", IFERROR(VLOOKUP(C836, Price_List!A:D, IF(Dashboard!$B$9="樂觀(Snipe)", 3, IF(Dashboard!$B$9="悲觀(Panic)", 4, 2)), 0), 0))</f>
        <v/>
      </c>
      <c r="F836" s="5" t="str">
        <f t="shared" si="13"/>
        <v/>
      </c>
    </row>
    <row r="837" spans="1:6" ht="18" x14ac:dyDescent="0.35">
      <c r="A837" s="2"/>
      <c r="B837" s="2"/>
      <c r="C837" s="2"/>
      <c r="D837" s="2"/>
      <c r="E837" s="5" t="str">
        <f>IF(C837="", "", IFERROR(VLOOKUP(C837, Price_List!A:D, IF(Dashboard!$B$9="樂觀(Snipe)", 3, IF(Dashboard!$B$9="悲觀(Panic)", 4, 2)), 0), 0))</f>
        <v/>
      </c>
      <c r="F837" s="5" t="str">
        <f t="shared" si="13"/>
        <v/>
      </c>
    </row>
    <row r="838" spans="1:6" ht="18" x14ac:dyDescent="0.35">
      <c r="A838" s="2"/>
      <c r="B838" s="2"/>
      <c r="C838" s="2"/>
      <c r="D838" s="2"/>
      <c r="E838" s="5" t="str">
        <f>IF(C838="", "", IFERROR(VLOOKUP(C838, Price_List!A:D, IF(Dashboard!$B$9="樂觀(Snipe)", 3, IF(Dashboard!$B$9="悲觀(Panic)", 4, 2)), 0), 0))</f>
        <v/>
      </c>
      <c r="F838" s="5" t="str">
        <f t="shared" si="13"/>
        <v/>
      </c>
    </row>
    <row r="839" spans="1:6" ht="18" x14ac:dyDescent="0.35">
      <c r="A839" s="2"/>
      <c r="B839" s="2"/>
      <c r="C839" s="2"/>
      <c r="D839" s="2"/>
      <c r="E839" s="5" t="str">
        <f>IF(C839="", "", IFERROR(VLOOKUP(C839, Price_List!A:D, IF(Dashboard!$B$9="樂觀(Snipe)", 3, IF(Dashboard!$B$9="悲觀(Panic)", 4, 2)), 0), 0))</f>
        <v/>
      </c>
      <c r="F839" s="5" t="str">
        <f t="shared" si="13"/>
        <v/>
      </c>
    </row>
    <row r="840" spans="1:6" ht="18" x14ac:dyDescent="0.35">
      <c r="A840" s="2"/>
      <c r="B840" s="2"/>
      <c r="C840" s="2"/>
      <c r="D840" s="2"/>
      <c r="E840" s="5" t="str">
        <f>IF(C840="", "", IFERROR(VLOOKUP(C840, Price_List!A:D, IF(Dashboard!$B$9="樂觀(Snipe)", 3, IF(Dashboard!$B$9="悲觀(Panic)", 4, 2)), 0), 0))</f>
        <v/>
      </c>
      <c r="F840" s="5" t="str">
        <f t="shared" si="13"/>
        <v/>
      </c>
    </row>
    <row r="841" spans="1:6" ht="18" x14ac:dyDescent="0.35">
      <c r="A841" s="2"/>
      <c r="B841" s="2"/>
      <c r="C841" s="2"/>
      <c r="D841" s="2"/>
      <c r="E841" s="5" t="str">
        <f>IF(C841="", "", IFERROR(VLOOKUP(C841, Price_List!A:D, IF(Dashboard!$B$9="樂觀(Snipe)", 3, IF(Dashboard!$B$9="悲觀(Panic)", 4, 2)), 0), 0))</f>
        <v/>
      </c>
      <c r="F841" s="5" t="str">
        <f t="shared" si="13"/>
        <v/>
      </c>
    </row>
    <row r="842" spans="1:6" ht="18" x14ac:dyDescent="0.35">
      <c r="A842" s="2"/>
      <c r="B842" s="2"/>
      <c r="C842" s="2"/>
      <c r="D842" s="2"/>
      <c r="E842" s="5" t="str">
        <f>IF(C842="", "", IFERROR(VLOOKUP(C842, Price_List!A:D, IF(Dashboard!$B$9="樂觀(Snipe)", 3, IF(Dashboard!$B$9="悲觀(Panic)", 4, 2)), 0), 0))</f>
        <v/>
      </c>
      <c r="F842" s="5" t="str">
        <f t="shared" si="13"/>
        <v/>
      </c>
    </row>
    <row r="843" spans="1:6" ht="18" x14ac:dyDescent="0.35">
      <c r="A843" s="2"/>
      <c r="B843" s="2"/>
      <c r="C843" s="2"/>
      <c r="D843" s="2"/>
      <c r="E843" s="5" t="str">
        <f>IF(C843="", "", IFERROR(VLOOKUP(C843, Price_List!A:D, IF(Dashboard!$B$9="樂觀(Snipe)", 3, IF(Dashboard!$B$9="悲觀(Panic)", 4, 2)), 0), 0))</f>
        <v/>
      </c>
      <c r="F843" s="5" t="str">
        <f t="shared" si="13"/>
        <v/>
      </c>
    </row>
    <row r="844" spans="1:6" ht="18" x14ac:dyDescent="0.35">
      <c r="A844" s="2"/>
      <c r="B844" s="2"/>
      <c r="C844" s="2"/>
      <c r="D844" s="2"/>
      <c r="E844" s="5" t="str">
        <f>IF(C844="", "", IFERROR(VLOOKUP(C844, Price_List!A:D, IF(Dashboard!$B$9="樂觀(Snipe)", 3, IF(Dashboard!$B$9="悲觀(Panic)", 4, 2)), 0), 0))</f>
        <v/>
      </c>
      <c r="F844" s="5" t="str">
        <f t="shared" si="13"/>
        <v/>
      </c>
    </row>
    <row r="845" spans="1:6" ht="18" x14ac:dyDescent="0.35">
      <c r="A845" s="2"/>
      <c r="B845" s="2"/>
      <c r="C845" s="2"/>
      <c r="D845" s="2"/>
      <c r="E845" s="5" t="str">
        <f>IF(C845="", "", IFERROR(VLOOKUP(C845, Price_List!A:D, IF(Dashboard!$B$9="樂觀(Snipe)", 3, IF(Dashboard!$B$9="悲觀(Panic)", 4, 2)), 0), 0))</f>
        <v/>
      </c>
      <c r="F845" s="5" t="str">
        <f t="shared" si="13"/>
        <v/>
      </c>
    </row>
    <row r="846" spans="1:6" ht="18" x14ac:dyDescent="0.35">
      <c r="A846" s="2"/>
      <c r="B846" s="2"/>
      <c r="C846" s="2"/>
      <c r="D846" s="2"/>
      <c r="E846" s="5" t="str">
        <f>IF(C846="", "", IFERROR(VLOOKUP(C846, Price_List!A:D, IF(Dashboard!$B$9="樂觀(Snipe)", 3, IF(Dashboard!$B$9="悲觀(Panic)", 4, 2)), 0), 0))</f>
        <v/>
      </c>
      <c r="F846" s="5" t="str">
        <f t="shared" si="13"/>
        <v/>
      </c>
    </row>
    <row r="847" spans="1:6" ht="18" x14ac:dyDescent="0.35">
      <c r="A847" s="2"/>
      <c r="B847" s="2"/>
      <c r="C847" s="2"/>
      <c r="D847" s="2"/>
      <c r="E847" s="5" t="str">
        <f>IF(C847="", "", IFERROR(VLOOKUP(C847, Price_List!A:D, IF(Dashboard!$B$9="樂觀(Snipe)", 3, IF(Dashboard!$B$9="悲觀(Panic)", 4, 2)), 0), 0))</f>
        <v/>
      </c>
      <c r="F847" s="5" t="str">
        <f t="shared" si="13"/>
        <v/>
      </c>
    </row>
    <row r="848" spans="1:6" ht="18" x14ac:dyDescent="0.35">
      <c r="A848" s="2"/>
      <c r="B848" s="2"/>
      <c r="C848" s="2"/>
      <c r="D848" s="2"/>
      <c r="E848" s="5" t="str">
        <f>IF(C848="", "", IFERROR(VLOOKUP(C848, Price_List!A:D, IF(Dashboard!$B$9="樂觀(Snipe)", 3, IF(Dashboard!$B$9="悲觀(Panic)", 4, 2)), 0), 0))</f>
        <v/>
      </c>
      <c r="F848" s="5" t="str">
        <f t="shared" si="13"/>
        <v/>
      </c>
    </row>
    <row r="849" spans="1:6" ht="18" x14ac:dyDescent="0.35">
      <c r="A849" s="2"/>
      <c r="B849" s="2"/>
      <c r="C849" s="2"/>
      <c r="D849" s="2"/>
      <c r="E849" s="5" t="str">
        <f>IF(C849="", "", IFERROR(VLOOKUP(C849, Price_List!A:D, IF(Dashboard!$B$9="樂觀(Snipe)", 3, IF(Dashboard!$B$9="悲觀(Panic)", 4, 2)), 0), 0))</f>
        <v/>
      </c>
      <c r="F849" s="5" t="str">
        <f t="shared" si="13"/>
        <v/>
      </c>
    </row>
    <row r="850" spans="1:6" ht="18" x14ac:dyDescent="0.35">
      <c r="A850" s="2"/>
      <c r="B850" s="2"/>
      <c r="C850" s="2"/>
      <c r="D850" s="2"/>
      <c r="E850" s="5" t="str">
        <f>IF(C850="", "", IFERROR(VLOOKUP(C850, Price_List!A:D, IF(Dashboard!$B$9="樂觀(Snipe)", 3, IF(Dashboard!$B$9="悲觀(Panic)", 4, 2)), 0), 0))</f>
        <v/>
      </c>
      <c r="F850" s="5" t="str">
        <f t="shared" si="13"/>
        <v/>
      </c>
    </row>
    <row r="851" spans="1:6" ht="18" x14ac:dyDescent="0.35">
      <c r="A851" s="2"/>
      <c r="B851" s="2"/>
      <c r="C851" s="2"/>
      <c r="D851" s="2"/>
      <c r="E851" s="5" t="str">
        <f>IF(C851="", "", IFERROR(VLOOKUP(C851, Price_List!A:D, IF(Dashboard!$B$9="樂觀(Snipe)", 3, IF(Dashboard!$B$9="悲觀(Panic)", 4, 2)), 0), 0))</f>
        <v/>
      </c>
      <c r="F851" s="5" t="str">
        <f t="shared" si="13"/>
        <v/>
      </c>
    </row>
    <row r="852" spans="1:6" ht="18" x14ac:dyDescent="0.35">
      <c r="A852" s="2"/>
      <c r="B852" s="2"/>
      <c r="C852" s="2"/>
      <c r="D852" s="2"/>
      <c r="E852" s="5" t="str">
        <f>IF(C852="", "", IFERROR(VLOOKUP(C852, Price_List!A:D, IF(Dashboard!$B$9="樂觀(Snipe)", 3, IF(Dashboard!$B$9="悲觀(Panic)", 4, 2)), 0), 0))</f>
        <v/>
      </c>
      <c r="F852" s="5" t="str">
        <f t="shared" si="13"/>
        <v/>
      </c>
    </row>
    <row r="853" spans="1:6" ht="18" x14ac:dyDescent="0.35">
      <c r="A853" s="2"/>
      <c r="B853" s="2"/>
      <c r="C853" s="2"/>
      <c r="D853" s="2"/>
      <c r="E853" s="5" t="str">
        <f>IF(C853="", "", IFERROR(VLOOKUP(C853, Price_List!A:D, IF(Dashboard!$B$9="樂觀(Snipe)", 3, IF(Dashboard!$B$9="悲觀(Panic)", 4, 2)), 0), 0))</f>
        <v/>
      </c>
      <c r="F853" s="5" t="str">
        <f t="shared" si="13"/>
        <v/>
      </c>
    </row>
    <row r="854" spans="1:6" ht="18" x14ac:dyDescent="0.35">
      <c r="A854" s="2"/>
      <c r="B854" s="2"/>
      <c r="C854" s="2"/>
      <c r="D854" s="2"/>
      <c r="E854" s="5" t="str">
        <f>IF(C854="", "", IFERROR(VLOOKUP(C854, Price_List!A:D, IF(Dashboard!$B$9="樂觀(Snipe)", 3, IF(Dashboard!$B$9="悲觀(Panic)", 4, 2)), 0), 0))</f>
        <v/>
      </c>
      <c r="F854" s="5" t="str">
        <f t="shared" si="13"/>
        <v/>
      </c>
    </row>
    <row r="855" spans="1:6" ht="18" x14ac:dyDescent="0.35">
      <c r="A855" s="2"/>
      <c r="B855" s="2"/>
      <c r="C855" s="2"/>
      <c r="D855" s="2"/>
      <c r="E855" s="5" t="str">
        <f>IF(C855="", "", IFERROR(VLOOKUP(C855, Price_List!A:D, IF(Dashboard!$B$9="樂觀(Snipe)", 3, IF(Dashboard!$B$9="悲觀(Panic)", 4, 2)), 0), 0))</f>
        <v/>
      </c>
      <c r="F855" s="5" t="str">
        <f t="shared" si="13"/>
        <v/>
      </c>
    </row>
    <row r="856" spans="1:6" ht="18" x14ac:dyDescent="0.35">
      <c r="A856" s="2"/>
      <c r="B856" s="2"/>
      <c r="C856" s="2"/>
      <c r="D856" s="2"/>
      <c r="E856" s="5" t="str">
        <f>IF(C856="", "", IFERROR(VLOOKUP(C856, Price_List!A:D, IF(Dashboard!$B$9="樂觀(Snipe)", 3, IF(Dashboard!$B$9="悲觀(Panic)", 4, 2)), 0), 0))</f>
        <v/>
      </c>
      <c r="F856" s="5" t="str">
        <f t="shared" si="13"/>
        <v/>
      </c>
    </row>
    <row r="857" spans="1:6" ht="18" x14ac:dyDescent="0.35">
      <c r="A857" s="2"/>
      <c r="B857" s="2"/>
      <c r="C857" s="2"/>
      <c r="D857" s="2"/>
      <c r="E857" s="5" t="str">
        <f>IF(C857="", "", IFERROR(VLOOKUP(C857, Price_List!A:D, IF(Dashboard!$B$9="樂觀(Snipe)", 3, IF(Dashboard!$B$9="悲觀(Panic)", 4, 2)), 0), 0))</f>
        <v/>
      </c>
      <c r="F857" s="5" t="str">
        <f t="shared" si="13"/>
        <v/>
      </c>
    </row>
    <row r="858" spans="1:6" ht="18" x14ac:dyDescent="0.35">
      <c r="A858" s="2"/>
      <c r="B858" s="2"/>
      <c r="C858" s="2"/>
      <c r="D858" s="2"/>
      <c r="E858" s="5" t="str">
        <f>IF(C858="", "", IFERROR(VLOOKUP(C858, Price_List!A:D, IF(Dashboard!$B$9="樂觀(Snipe)", 3, IF(Dashboard!$B$9="悲觀(Panic)", 4, 2)), 0), 0))</f>
        <v/>
      </c>
      <c r="F858" s="5" t="str">
        <f t="shared" si="13"/>
        <v/>
      </c>
    </row>
    <row r="859" spans="1:6" ht="18" x14ac:dyDescent="0.35">
      <c r="A859" s="2"/>
      <c r="B859" s="2"/>
      <c r="C859" s="2"/>
      <c r="D859" s="2"/>
      <c r="E859" s="5" t="str">
        <f>IF(C859="", "", IFERROR(VLOOKUP(C859, Price_List!A:D, IF(Dashboard!$B$9="樂觀(Snipe)", 3, IF(Dashboard!$B$9="悲觀(Panic)", 4, 2)), 0), 0))</f>
        <v/>
      </c>
      <c r="F859" s="5" t="str">
        <f t="shared" si="13"/>
        <v/>
      </c>
    </row>
    <row r="860" spans="1:6" ht="18" x14ac:dyDescent="0.35">
      <c r="A860" s="2"/>
      <c r="B860" s="2"/>
      <c r="C860" s="2"/>
      <c r="D860" s="2"/>
      <c r="E860" s="5" t="str">
        <f>IF(C860="", "", IFERROR(VLOOKUP(C860, Price_List!A:D, IF(Dashboard!$B$9="樂觀(Snipe)", 3, IF(Dashboard!$B$9="悲觀(Panic)", 4, 2)), 0), 0))</f>
        <v/>
      </c>
      <c r="F860" s="5" t="str">
        <f t="shared" si="13"/>
        <v/>
      </c>
    </row>
    <row r="861" spans="1:6" ht="18" x14ac:dyDescent="0.35">
      <c r="A861" s="2"/>
      <c r="B861" s="2"/>
      <c r="C861" s="2"/>
      <c r="D861" s="2"/>
      <c r="E861" s="5" t="str">
        <f>IF(C861="", "", IFERROR(VLOOKUP(C861, Price_List!A:D, IF(Dashboard!$B$9="樂觀(Snipe)", 3, IF(Dashboard!$B$9="悲觀(Panic)", 4, 2)), 0), 0))</f>
        <v/>
      </c>
      <c r="F861" s="5" t="str">
        <f t="shared" si="13"/>
        <v/>
      </c>
    </row>
    <row r="862" spans="1:6" ht="18" x14ac:dyDescent="0.35">
      <c r="A862" s="2"/>
      <c r="B862" s="2"/>
      <c r="C862" s="2"/>
      <c r="D862" s="2"/>
      <c r="E862" s="5" t="str">
        <f>IF(C862="", "", IFERROR(VLOOKUP(C862, Price_List!A:D, IF(Dashboard!$B$9="樂觀(Snipe)", 3, IF(Dashboard!$B$9="悲觀(Panic)", 4, 2)), 0), 0))</f>
        <v/>
      </c>
      <c r="F862" s="5" t="str">
        <f t="shared" si="13"/>
        <v/>
      </c>
    </row>
    <row r="863" spans="1:6" ht="18" x14ac:dyDescent="0.35">
      <c r="A863" s="2"/>
      <c r="B863" s="2"/>
      <c r="C863" s="2"/>
      <c r="D863" s="2"/>
      <c r="E863" s="5" t="str">
        <f>IF(C863="", "", IFERROR(VLOOKUP(C863, Price_List!A:D, IF(Dashboard!$B$9="樂觀(Snipe)", 3, IF(Dashboard!$B$9="悲觀(Panic)", 4, 2)), 0), 0))</f>
        <v/>
      </c>
      <c r="F863" s="5" t="str">
        <f t="shared" si="13"/>
        <v/>
      </c>
    </row>
    <row r="864" spans="1:6" ht="18" x14ac:dyDescent="0.35">
      <c r="A864" s="2"/>
      <c r="B864" s="2"/>
      <c r="C864" s="2"/>
      <c r="D864" s="2"/>
      <c r="E864" s="5" t="str">
        <f>IF(C864="", "", IFERROR(VLOOKUP(C864, Price_List!A:D, IF(Dashboard!$B$9="樂觀(Snipe)", 3, IF(Dashboard!$B$9="悲觀(Panic)", 4, 2)), 0), 0))</f>
        <v/>
      </c>
      <c r="F864" s="5" t="str">
        <f t="shared" si="13"/>
        <v/>
      </c>
    </row>
    <row r="865" spans="1:6" ht="18" x14ac:dyDescent="0.35">
      <c r="A865" s="2"/>
      <c r="B865" s="2"/>
      <c r="C865" s="2"/>
      <c r="D865" s="2"/>
      <c r="E865" s="5" t="str">
        <f>IF(C865="", "", IFERROR(VLOOKUP(C865, Price_List!A:D, IF(Dashboard!$B$9="樂觀(Snipe)", 3, IF(Dashboard!$B$9="悲觀(Panic)", 4, 2)), 0), 0))</f>
        <v/>
      </c>
      <c r="F865" s="5" t="str">
        <f t="shared" si="13"/>
        <v/>
      </c>
    </row>
    <row r="866" spans="1:6" ht="18" x14ac:dyDescent="0.35">
      <c r="A866" s="2"/>
      <c r="B866" s="2"/>
      <c r="C866" s="2"/>
      <c r="D866" s="2"/>
      <c r="E866" s="5" t="str">
        <f>IF(C866="", "", IFERROR(VLOOKUP(C866, Price_List!A:D, IF(Dashboard!$B$9="樂觀(Snipe)", 3, IF(Dashboard!$B$9="悲觀(Panic)", 4, 2)), 0), 0))</f>
        <v/>
      </c>
      <c r="F866" s="5" t="str">
        <f t="shared" si="13"/>
        <v/>
      </c>
    </row>
    <row r="867" spans="1:6" ht="18" x14ac:dyDescent="0.35">
      <c r="A867" s="2"/>
      <c r="B867" s="2"/>
      <c r="C867" s="2"/>
      <c r="D867" s="2"/>
      <c r="E867" s="5" t="str">
        <f>IF(C867="", "", IFERROR(VLOOKUP(C867, Price_List!A:D, IF(Dashboard!$B$9="樂觀(Snipe)", 3, IF(Dashboard!$B$9="悲觀(Panic)", 4, 2)), 0), 0))</f>
        <v/>
      </c>
      <c r="F867" s="5" t="str">
        <f t="shared" si="13"/>
        <v/>
      </c>
    </row>
    <row r="868" spans="1:6" ht="18" x14ac:dyDescent="0.35">
      <c r="A868" s="2"/>
      <c r="B868" s="2"/>
      <c r="C868" s="2"/>
      <c r="D868" s="2"/>
      <c r="E868" s="5" t="str">
        <f>IF(C868="", "", IFERROR(VLOOKUP(C868, Price_List!A:D, IF(Dashboard!$B$9="樂觀(Snipe)", 3, IF(Dashboard!$B$9="悲觀(Panic)", 4, 2)), 0), 0))</f>
        <v/>
      </c>
      <c r="F868" s="5" t="str">
        <f t="shared" si="13"/>
        <v/>
      </c>
    </row>
    <row r="869" spans="1:6" ht="18" x14ac:dyDescent="0.35">
      <c r="A869" s="2"/>
      <c r="B869" s="2"/>
      <c r="C869" s="2"/>
      <c r="D869" s="2"/>
      <c r="E869" s="5" t="str">
        <f>IF(C869="", "", IFERROR(VLOOKUP(C869, Price_List!A:D, IF(Dashboard!$B$9="樂觀(Snipe)", 3, IF(Dashboard!$B$9="悲觀(Panic)", 4, 2)), 0), 0))</f>
        <v/>
      </c>
      <c r="F869" s="5" t="str">
        <f t="shared" si="13"/>
        <v/>
      </c>
    </row>
    <row r="870" spans="1:6" ht="18" x14ac:dyDescent="0.35">
      <c r="A870" s="2"/>
      <c r="B870" s="2"/>
      <c r="C870" s="2"/>
      <c r="D870" s="2"/>
      <c r="E870" s="5" t="str">
        <f>IF(C870="", "", IFERROR(VLOOKUP(C870, Price_List!A:D, IF(Dashboard!$B$9="樂觀(Snipe)", 3, IF(Dashboard!$B$9="悲觀(Panic)", 4, 2)), 0), 0))</f>
        <v/>
      </c>
      <c r="F870" s="5" t="str">
        <f t="shared" si="13"/>
        <v/>
      </c>
    </row>
    <row r="871" spans="1:6" ht="18" x14ac:dyDescent="0.35">
      <c r="A871" s="2"/>
      <c r="B871" s="2"/>
      <c r="C871" s="2"/>
      <c r="D871" s="2"/>
      <c r="E871" s="5" t="str">
        <f>IF(C871="", "", IFERROR(VLOOKUP(C871, Price_List!A:D, IF(Dashboard!$B$9="樂觀(Snipe)", 3, IF(Dashboard!$B$9="悲觀(Panic)", 4, 2)), 0), 0))</f>
        <v/>
      </c>
      <c r="F871" s="5" t="str">
        <f t="shared" si="13"/>
        <v/>
      </c>
    </row>
    <row r="872" spans="1:6" ht="18" x14ac:dyDescent="0.35">
      <c r="A872" s="2"/>
      <c r="B872" s="2"/>
      <c r="C872" s="2"/>
      <c r="D872" s="2"/>
      <c r="E872" s="5" t="str">
        <f>IF(C872="", "", IFERROR(VLOOKUP(C872, Price_List!A:D, IF(Dashboard!$B$9="樂觀(Snipe)", 3, IF(Dashboard!$B$9="悲觀(Panic)", 4, 2)), 0), 0))</f>
        <v/>
      </c>
      <c r="F872" s="5" t="str">
        <f t="shared" si="13"/>
        <v/>
      </c>
    </row>
    <row r="873" spans="1:6" ht="18" x14ac:dyDescent="0.35">
      <c r="A873" s="2"/>
      <c r="B873" s="2"/>
      <c r="C873" s="2"/>
      <c r="D873" s="2"/>
      <c r="E873" s="5" t="str">
        <f>IF(C873="", "", IFERROR(VLOOKUP(C873, Price_List!A:D, IF(Dashboard!$B$9="樂觀(Snipe)", 3, IF(Dashboard!$B$9="悲觀(Panic)", 4, 2)), 0), 0))</f>
        <v/>
      </c>
      <c r="F873" s="5" t="str">
        <f t="shared" si="13"/>
        <v/>
      </c>
    </row>
    <row r="874" spans="1:6" ht="18" x14ac:dyDescent="0.35">
      <c r="A874" s="2"/>
      <c r="B874" s="2"/>
      <c r="C874" s="2"/>
      <c r="D874" s="2"/>
      <c r="E874" s="5" t="str">
        <f>IF(C874="", "", IFERROR(VLOOKUP(C874, Price_List!A:D, IF(Dashboard!$B$9="樂觀(Snipe)", 3, IF(Dashboard!$B$9="悲觀(Panic)", 4, 2)), 0), 0))</f>
        <v/>
      </c>
      <c r="F874" s="5" t="str">
        <f t="shared" si="13"/>
        <v/>
      </c>
    </row>
    <row r="875" spans="1:6" ht="18" x14ac:dyDescent="0.35">
      <c r="A875" s="2"/>
      <c r="B875" s="2"/>
      <c r="C875" s="2"/>
      <c r="D875" s="2"/>
      <c r="E875" s="5" t="str">
        <f>IF(C875="", "", IFERROR(VLOOKUP(C875, Price_List!A:D, IF(Dashboard!$B$9="樂觀(Snipe)", 3, IF(Dashboard!$B$9="悲觀(Panic)", 4, 2)), 0), 0))</f>
        <v/>
      </c>
      <c r="F875" s="5" t="str">
        <f t="shared" si="13"/>
        <v/>
      </c>
    </row>
    <row r="876" spans="1:6" ht="18" x14ac:dyDescent="0.35">
      <c r="A876" s="2"/>
      <c r="B876" s="2"/>
      <c r="C876" s="2"/>
      <c r="D876" s="2"/>
      <c r="E876" s="5" t="str">
        <f>IF(C876="", "", IFERROR(VLOOKUP(C876, Price_List!A:D, IF(Dashboard!$B$9="樂觀(Snipe)", 3, IF(Dashboard!$B$9="悲觀(Panic)", 4, 2)), 0), 0))</f>
        <v/>
      </c>
      <c r="F876" s="5" t="str">
        <f t="shared" si="13"/>
        <v/>
      </c>
    </row>
    <row r="877" spans="1:6" ht="18" x14ac:dyDescent="0.35">
      <c r="A877" s="2"/>
      <c r="B877" s="2"/>
      <c r="C877" s="2"/>
      <c r="D877" s="2"/>
      <c r="E877" s="5" t="str">
        <f>IF(C877="", "", IFERROR(VLOOKUP(C877, Price_List!A:D, IF(Dashboard!$B$9="樂觀(Snipe)", 3, IF(Dashboard!$B$9="悲觀(Panic)", 4, 2)), 0), 0))</f>
        <v/>
      </c>
      <c r="F877" s="5" t="str">
        <f t="shared" si="13"/>
        <v/>
      </c>
    </row>
    <row r="878" spans="1:6" ht="18" x14ac:dyDescent="0.35">
      <c r="A878" s="2"/>
      <c r="B878" s="2"/>
      <c r="C878" s="2"/>
      <c r="D878" s="2"/>
      <c r="E878" s="5" t="str">
        <f>IF(C878="", "", IFERROR(VLOOKUP(C878, Price_List!A:D, IF(Dashboard!$B$9="樂觀(Snipe)", 3, IF(Dashboard!$B$9="悲觀(Panic)", 4, 2)), 0), 0))</f>
        <v/>
      </c>
      <c r="F878" s="5" t="str">
        <f t="shared" si="13"/>
        <v/>
      </c>
    </row>
    <row r="879" spans="1:6" ht="18" x14ac:dyDescent="0.35">
      <c r="A879" s="2"/>
      <c r="B879" s="2"/>
      <c r="C879" s="2"/>
      <c r="D879" s="2"/>
      <c r="E879" s="5" t="str">
        <f>IF(C879="", "", IFERROR(VLOOKUP(C879, Price_List!A:D, IF(Dashboard!$B$9="樂觀(Snipe)", 3, IF(Dashboard!$B$9="悲觀(Panic)", 4, 2)), 0), 0))</f>
        <v/>
      </c>
      <c r="F879" s="5" t="str">
        <f t="shared" si="13"/>
        <v/>
      </c>
    </row>
    <row r="880" spans="1:6" ht="18" x14ac:dyDescent="0.35">
      <c r="A880" s="2"/>
      <c r="B880" s="2"/>
      <c r="C880" s="2"/>
      <c r="D880" s="2"/>
      <c r="E880" s="5" t="str">
        <f>IF(C880="", "", IFERROR(VLOOKUP(C880, Price_List!A:D, IF(Dashboard!$B$9="樂觀(Snipe)", 3, IF(Dashboard!$B$9="悲觀(Panic)", 4, 2)), 0), 0))</f>
        <v/>
      </c>
      <c r="F880" s="5" t="str">
        <f t="shared" si="13"/>
        <v/>
      </c>
    </row>
    <row r="881" spans="1:6" ht="18" x14ac:dyDescent="0.35">
      <c r="A881" s="2"/>
      <c r="B881" s="2"/>
      <c r="C881" s="2"/>
      <c r="D881" s="2"/>
      <c r="E881" s="5" t="str">
        <f>IF(C881="", "", IFERROR(VLOOKUP(C881, Price_List!A:D, IF(Dashboard!$B$9="樂觀(Snipe)", 3, IF(Dashboard!$B$9="悲觀(Panic)", 4, 2)), 0), 0))</f>
        <v/>
      </c>
      <c r="F881" s="5" t="str">
        <f t="shared" si="13"/>
        <v/>
      </c>
    </row>
    <row r="882" spans="1:6" ht="18" x14ac:dyDescent="0.35">
      <c r="A882" s="2"/>
      <c r="B882" s="2"/>
      <c r="C882" s="2"/>
      <c r="D882" s="2"/>
      <c r="E882" s="5" t="str">
        <f>IF(C882="", "", IFERROR(VLOOKUP(C882, Price_List!A:D, IF(Dashboard!$B$9="樂觀(Snipe)", 3, IF(Dashboard!$B$9="悲觀(Panic)", 4, 2)), 0), 0))</f>
        <v/>
      </c>
      <c r="F882" s="5" t="str">
        <f t="shared" si="13"/>
        <v/>
      </c>
    </row>
    <row r="883" spans="1:6" ht="18" x14ac:dyDescent="0.35">
      <c r="A883" s="2"/>
      <c r="B883" s="2"/>
      <c r="C883" s="2"/>
      <c r="D883" s="2"/>
      <c r="E883" s="5" t="str">
        <f>IF(C883="", "", IFERROR(VLOOKUP(C883, Price_List!A:D, IF(Dashboard!$B$9="樂觀(Snipe)", 3, IF(Dashboard!$B$9="悲觀(Panic)", 4, 2)), 0), 0))</f>
        <v/>
      </c>
      <c r="F883" s="5" t="str">
        <f t="shared" si="13"/>
        <v/>
      </c>
    </row>
    <row r="884" spans="1:6" ht="18" x14ac:dyDescent="0.35">
      <c r="A884" s="2"/>
      <c r="B884" s="2"/>
      <c r="C884" s="2"/>
      <c r="D884" s="2"/>
      <c r="E884" s="5" t="str">
        <f>IF(C884="", "", IFERROR(VLOOKUP(C884, Price_List!A:D, IF(Dashboard!$B$9="樂觀(Snipe)", 3, IF(Dashboard!$B$9="悲觀(Panic)", 4, 2)), 0), 0))</f>
        <v/>
      </c>
      <c r="F884" s="5" t="str">
        <f t="shared" si="13"/>
        <v/>
      </c>
    </row>
    <row r="885" spans="1:6" ht="18" x14ac:dyDescent="0.35">
      <c r="A885" s="2"/>
      <c r="B885" s="2"/>
      <c r="C885" s="2"/>
      <c r="D885" s="2"/>
      <c r="E885" s="5" t="str">
        <f>IF(C885="", "", IFERROR(VLOOKUP(C885, Price_List!A:D, IF(Dashboard!$B$9="樂觀(Snipe)", 3, IF(Dashboard!$B$9="悲觀(Panic)", 4, 2)), 0), 0))</f>
        <v/>
      </c>
      <c r="F885" s="5" t="str">
        <f t="shared" si="13"/>
        <v/>
      </c>
    </row>
    <row r="886" spans="1:6" ht="18" x14ac:dyDescent="0.35">
      <c r="A886" s="2"/>
      <c r="B886" s="2"/>
      <c r="C886" s="2"/>
      <c r="D886" s="2"/>
      <c r="E886" s="5" t="str">
        <f>IF(C886="", "", IFERROR(VLOOKUP(C886, Price_List!A:D, IF(Dashboard!$B$9="樂觀(Snipe)", 3, IF(Dashboard!$B$9="悲觀(Panic)", 4, 2)), 0), 0))</f>
        <v/>
      </c>
      <c r="F886" s="5" t="str">
        <f t="shared" si="13"/>
        <v/>
      </c>
    </row>
    <row r="887" spans="1:6" ht="18" x14ac:dyDescent="0.35">
      <c r="A887" s="2"/>
      <c r="B887" s="2"/>
      <c r="C887" s="2"/>
      <c r="D887" s="2"/>
      <c r="E887" s="5" t="str">
        <f>IF(C887="", "", IFERROR(VLOOKUP(C887, Price_List!A:D, IF(Dashboard!$B$9="樂觀(Snipe)", 3, IF(Dashboard!$B$9="悲觀(Panic)", 4, 2)), 0), 0))</f>
        <v/>
      </c>
      <c r="F887" s="5" t="str">
        <f t="shared" si="13"/>
        <v/>
      </c>
    </row>
    <row r="888" spans="1:6" ht="18" x14ac:dyDescent="0.35">
      <c r="A888" s="2"/>
      <c r="B888" s="2"/>
      <c r="C888" s="2"/>
      <c r="D888" s="2"/>
      <c r="E888" s="5" t="str">
        <f>IF(C888="", "", IFERROR(VLOOKUP(C888, Price_List!A:D, IF(Dashboard!$B$9="樂觀(Snipe)", 3, IF(Dashboard!$B$9="悲觀(Panic)", 4, 2)), 0), 0))</f>
        <v/>
      </c>
      <c r="F888" s="5" t="str">
        <f t="shared" si="13"/>
        <v/>
      </c>
    </row>
    <row r="889" spans="1:6" ht="18" x14ac:dyDescent="0.35">
      <c r="A889" s="2"/>
      <c r="B889" s="2"/>
      <c r="C889" s="2"/>
      <c r="D889" s="2"/>
      <c r="E889" s="5" t="str">
        <f>IF(C889="", "", IFERROR(VLOOKUP(C889, Price_List!A:D, IF(Dashboard!$B$9="樂觀(Snipe)", 3, IF(Dashboard!$B$9="悲觀(Panic)", 4, 2)), 0), 0))</f>
        <v/>
      </c>
      <c r="F889" s="5" t="str">
        <f t="shared" si="13"/>
        <v/>
      </c>
    </row>
    <row r="890" spans="1:6" ht="18" x14ac:dyDescent="0.35">
      <c r="A890" s="2"/>
      <c r="B890" s="2"/>
      <c r="C890" s="2"/>
      <c r="D890" s="2"/>
      <c r="E890" s="5" t="str">
        <f>IF(C890="", "", IFERROR(VLOOKUP(C890, Price_List!A:D, IF(Dashboard!$B$9="樂觀(Snipe)", 3, IF(Dashboard!$B$9="悲觀(Panic)", 4, 2)), 0), 0))</f>
        <v/>
      </c>
      <c r="F890" s="5" t="str">
        <f t="shared" si="13"/>
        <v/>
      </c>
    </row>
    <row r="891" spans="1:6" ht="18" x14ac:dyDescent="0.35">
      <c r="A891" s="2"/>
      <c r="B891" s="2"/>
      <c r="C891" s="2"/>
      <c r="D891" s="2"/>
      <c r="E891" s="5" t="str">
        <f>IF(C891="", "", IFERROR(VLOOKUP(C891, Price_List!A:D, IF(Dashboard!$B$9="樂觀(Snipe)", 3, IF(Dashboard!$B$9="悲觀(Panic)", 4, 2)), 0), 0))</f>
        <v/>
      </c>
      <c r="F891" s="5" t="str">
        <f t="shared" si="13"/>
        <v/>
      </c>
    </row>
    <row r="892" spans="1:6" ht="18" x14ac:dyDescent="0.35">
      <c r="A892" s="2"/>
      <c r="B892" s="2"/>
      <c r="C892" s="2"/>
      <c r="D892" s="2"/>
      <c r="E892" s="5" t="str">
        <f>IF(C892="", "", IFERROR(VLOOKUP(C892, Price_List!A:D, IF(Dashboard!$B$9="樂觀(Snipe)", 3, IF(Dashboard!$B$9="悲觀(Panic)", 4, 2)), 0), 0))</f>
        <v/>
      </c>
      <c r="F892" s="5" t="str">
        <f t="shared" si="13"/>
        <v/>
      </c>
    </row>
    <row r="893" spans="1:6" ht="18" x14ac:dyDescent="0.35">
      <c r="A893" s="2"/>
      <c r="B893" s="2"/>
      <c r="C893" s="2"/>
      <c r="D893" s="2"/>
      <c r="E893" s="5" t="str">
        <f>IF(C893="", "", IFERROR(VLOOKUP(C893, Price_List!A:D, IF(Dashboard!$B$9="樂觀(Snipe)", 3, IF(Dashboard!$B$9="悲觀(Panic)", 4, 2)), 0), 0))</f>
        <v/>
      </c>
      <c r="F893" s="5" t="str">
        <f t="shared" si="13"/>
        <v/>
      </c>
    </row>
    <row r="894" spans="1:6" ht="18" x14ac:dyDescent="0.35">
      <c r="A894" s="2"/>
      <c r="B894" s="2"/>
      <c r="C894" s="2"/>
      <c r="D894" s="2"/>
      <c r="E894" s="5" t="str">
        <f>IF(C894="", "", IFERROR(VLOOKUP(C894, Price_List!A:D, IF(Dashboard!$B$9="樂觀(Snipe)", 3, IF(Dashboard!$B$9="悲觀(Panic)", 4, 2)), 0), 0))</f>
        <v/>
      </c>
      <c r="F894" s="5" t="str">
        <f t="shared" si="13"/>
        <v/>
      </c>
    </row>
    <row r="895" spans="1:6" ht="18" x14ac:dyDescent="0.35">
      <c r="A895" s="2"/>
      <c r="B895" s="2"/>
      <c r="C895" s="2"/>
      <c r="D895" s="2"/>
      <c r="E895" s="5" t="str">
        <f>IF(C895="", "", IFERROR(VLOOKUP(C895, Price_List!A:D, IF(Dashboard!$B$9="樂觀(Snipe)", 3, IF(Dashboard!$B$9="悲觀(Panic)", 4, 2)), 0), 0))</f>
        <v/>
      </c>
      <c r="F895" s="5" t="str">
        <f t="shared" si="13"/>
        <v/>
      </c>
    </row>
    <row r="896" spans="1:6" ht="18" x14ac:dyDescent="0.35">
      <c r="A896" s="2"/>
      <c r="B896" s="2"/>
      <c r="C896" s="2"/>
      <c r="D896" s="2"/>
      <c r="E896" s="5" t="str">
        <f>IF(C896="", "", IFERROR(VLOOKUP(C896, Price_List!A:D, IF(Dashboard!$B$9="樂觀(Snipe)", 3, IF(Dashboard!$B$9="悲觀(Panic)", 4, 2)), 0), 0))</f>
        <v/>
      </c>
      <c r="F896" s="5" t="str">
        <f t="shared" si="13"/>
        <v/>
      </c>
    </row>
    <row r="897" spans="1:6" ht="18" x14ac:dyDescent="0.35">
      <c r="A897" s="2"/>
      <c r="B897" s="2"/>
      <c r="C897" s="2"/>
      <c r="D897" s="2"/>
      <c r="E897" s="5" t="str">
        <f>IF(C897="", "", IFERROR(VLOOKUP(C897, Price_List!A:D, IF(Dashboard!$B$9="樂觀(Snipe)", 3, IF(Dashboard!$B$9="悲觀(Panic)", 4, 2)), 0), 0))</f>
        <v/>
      </c>
      <c r="F897" s="5" t="str">
        <f t="shared" si="13"/>
        <v/>
      </c>
    </row>
    <row r="898" spans="1:6" ht="18" x14ac:dyDescent="0.35">
      <c r="A898" s="2"/>
      <c r="B898" s="2"/>
      <c r="C898" s="2"/>
      <c r="D898" s="2"/>
      <c r="E898" s="5" t="str">
        <f>IF(C898="", "", IFERROR(VLOOKUP(C898, Price_List!A:D, IF(Dashboard!$B$9="樂觀(Snipe)", 3, IF(Dashboard!$B$9="悲觀(Panic)", 4, 2)), 0), 0))</f>
        <v/>
      </c>
      <c r="F898" s="5" t="str">
        <f t="shared" ref="F898:F961" si="14">IF(C898="", "", D898*E898)</f>
        <v/>
      </c>
    </row>
    <row r="899" spans="1:6" ht="18" x14ac:dyDescent="0.35">
      <c r="A899" s="2"/>
      <c r="B899" s="2"/>
      <c r="C899" s="2"/>
      <c r="D899" s="2"/>
      <c r="E899" s="5" t="str">
        <f>IF(C899="", "", IFERROR(VLOOKUP(C899, Price_List!A:D, IF(Dashboard!$B$9="樂觀(Snipe)", 3, IF(Dashboard!$B$9="悲觀(Panic)", 4, 2)), 0), 0))</f>
        <v/>
      </c>
      <c r="F899" s="5" t="str">
        <f t="shared" si="14"/>
        <v/>
      </c>
    </row>
  </sheetData>
  <sheetProtection algorithmName="SHA-512" hashValue="cJhrDJXL/aGZKAZmLVKRGjyXQ8EM16uV2EvVtDckZ6Zlk5IGf7rEqINzBdwq6QBMVztAoPGKf3ltrsPpJKMJDQ==" saltValue="ZQVXHDXuv5WOODl8zuzBuw==" spinCount="100000" sheet="1" objects="1" scenarios="1" autoFilter="0"/>
  <autoFilter ref="A1:F899" xr:uid="{00000000-0009-0000-0000-000003000000}">
    <filterColumn colId="0">
      <filters blank="1">
        <filter val="乾龍王系列"/>
      </filters>
    </filterColumn>
    <sortState xmlns:xlrd2="http://schemas.microsoft.com/office/spreadsheetml/2017/richdata2" ref="A2:F499">
      <sortCondition ref="A1:A499"/>
    </sortState>
  </autoFilter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12</vt:i4>
      </vt:variant>
    </vt:vector>
  </HeadingPairs>
  <TitlesOfParts>
    <vt:vector size="15" baseType="lpstr">
      <vt:lpstr>Dashboard</vt:lpstr>
      <vt:lpstr>Price_List</vt:lpstr>
      <vt:lpstr>Data_Recipes</vt:lpstr>
      <vt:lpstr>List_Factions</vt:lpstr>
      <vt:lpstr>Series_天族</vt:lpstr>
      <vt:lpstr>Series_魔族</vt:lpstr>
      <vt:lpstr>白龍王系列</vt:lpstr>
      <vt:lpstr>其他天族系列</vt:lpstr>
      <vt:lpstr>真龍王系列</vt:lpstr>
      <vt:lpstr>乾龍王系列</vt:lpstr>
      <vt:lpstr>黑龍王系列</vt:lpstr>
      <vt:lpstr>暗龍王系列</vt:lpstr>
      <vt:lpstr>鳴龍王系列</vt:lpstr>
      <vt:lpstr>應龍王系列</vt:lpstr>
      <vt:lpstr>夔龍王系列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道天 神一</cp:lastModifiedBy>
  <dcterms:created xsi:type="dcterms:W3CDTF">2026-01-17T09:55:01Z</dcterms:created>
  <dcterms:modified xsi:type="dcterms:W3CDTF">2026-01-17T12:29:06Z</dcterms:modified>
</cp:coreProperties>
</file>